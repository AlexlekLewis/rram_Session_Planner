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lexlewis/Desktop/ROYALS 2025/Coaching Planning/"/>
    </mc:Choice>
  </mc:AlternateContent>
  <xr:revisionPtr revIDLastSave="0" documentId="8_{034944CF-ECCF-8146-9B2A-D694C96CCC53}" xr6:coauthVersionLast="47" xr6:coauthVersionMax="47" xr10:uidLastSave="{00000000-0000-0000-0000-000000000000}"/>
  <bookViews>
    <workbookView xWindow="20" yWindow="660" windowWidth="30240" windowHeight="17760" activeTab="2" xr2:uid="{397CF4EB-A81F-ED4B-999C-D2BBD73BCFF0}"/>
  </bookViews>
  <sheets>
    <sheet name="Sheet1" sheetId="1" r:id="rId1"/>
    <sheet name="Month 1" sheetId="2" r:id="rId2"/>
    <sheet name="Session Plans - Month 1" sheetId="5" r:id="rId3"/>
    <sheet name="Activity Library" sheetId="6" r:id="rId4"/>
    <sheet name="Sheet3" sheetId="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1" l="1"/>
  <c r="O18" i="1"/>
  <c r="C42" i="1" s="1"/>
  <c r="V19" i="2"/>
  <c r="V18" i="2"/>
  <c r="V17" i="2"/>
  <c r="V16" i="2"/>
  <c r="V15" i="2"/>
  <c r="V14" i="2"/>
  <c r="V13" i="2"/>
  <c r="V12" i="2"/>
  <c r="V11" i="2"/>
  <c r="V10" i="2"/>
  <c r="V9" i="2"/>
  <c r="V8" i="2"/>
  <c r="V7" i="2"/>
  <c r="V6" i="2"/>
  <c r="V5" i="2"/>
  <c r="V4" i="2"/>
  <c r="O15" i="1"/>
  <c r="O10" i="1"/>
  <c r="O7" i="1"/>
  <c r="O8" i="1"/>
  <c r="O9" i="1"/>
  <c r="O11" i="1"/>
  <c r="O12" i="1"/>
  <c r="O13" i="1"/>
  <c r="O14" i="1"/>
  <c r="O16" i="1"/>
  <c r="O17" i="1"/>
  <c r="O19" i="1"/>
  <c r="O20" i="1"/>
  <c r="O21" i="1"/>
  <c r="O22" i="1"/>
  <c r="O23" i="1"/>
  <c r="O24" i="1"/>
  <c r="O25" i="1"/>
  <c r="O26" i="1"/>
  <c r="C43" i="1" s="1"/>
  <c r="O6" i="1"/>
  <c r="C33" i="1" l="1"/>
  <c r="C38" i="1"/>
  <c r="C39" i="1"/>
  <c r="C41" i="1"/>
  <c r="C37" i="1"/>
  <c r="C35" i="1"/>
  <c r="C34" i="1"/>
  <c r="C44" i="1" l="1"/>
  <c r="C4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Alex Lewis</author>
  </authors>
  <commentList>
    <comment ref="J9" authorId="0" shapeId="0" xr:uid="{6145BE2F-EF13-9445-BDD1-8BA0D1232118}">
      <text>
        <r>
          <rPr>
            <b/>
            <sz val="10"/>
            <color rgb="FF000000"/>
            <rFont val="Tahoma"/>
            <family val="2"/>
          </rPr>
          <t>Alex Lewis:</t>
        </r>
        <r>
          <rPr>
            <sz val="10"/>
            <color rgb="FF000000"/>
            <rFont val="Tahoma"/>
            <family val="2"/>
          </rPr>
          <t xml:space="preserve">
All players. Run by specialist – no planning needed.</t>
        </r>
      </text>
    </comment>
    <comment ref="M9" authorId="0" shapeId="0" xr:uid="{DB7677C7-68F1-714A-9F7A-217BDA1109CB}">
      <text>
        <r>
          <rPr>
            <b/>
            <sz val="10"/>
            <color rgb="FF000000"/>
            <rFont val="Tahoma"/>
            <family val="2"/>
          </rPr>
          <t>Alex Lewis:</t>
        </r>
        <r>
          <rPr>
            <sz val="10"/>
            <color rgb="FF000000"/>
            <rFont val="Tahoma"/>
            <family val="2"/>
          </rPr>
          <t xml:space="preserve">
All players. Run by specialist – no planning needed.</t>
        </r>
      </text>
    </comment>
    <comment ref="N9" authorId="0" shapeId="0" xr:uid="{FE62C86E-62D3-0E4D-8481-99143595CF3C}">
      <text>
        <r>
          <rPr>
            <b/>
            <sz val="10"/>
            <color rgb="FF000000"/>
            <rFont val="Tahoma"/>
            <family val="2"/>
          </rPr>
          <t>Alex Lewis:</t>
        </r>
        <r>
          <rPr>
            <sz val="10"/>
            <color rgb="FF000000"/>
            <rFont val="Tahoma"/>
            <family val="2"/>
          </rPr>
          <t xml:space="preserve">
All players. Run by specialist – no planning needed.</t>
        </r>
      </text>
    </comment>
    <comment ref="Q9" authorId="0" shapeId="0" xr:uid="{F0961D42-2A2D-AF4E-8799-854109A6BB1D}">
      <text>
        <r>
          <rPr>
            <b/>
            <sz val="10"/>
            <color rgb="FF000000"/>
            <rFont val="Tahoma"/>
            <family val="2"/>
          </rPr>
          <t>Alex Lewis:</t>
        </r>
        <r>
          <rPr>
            <sz val="10"/>
            <color rgb="FF000000"/>
            <rFont val="Tahoma"/>
            <family val="2"/>
          </rPr>
          <t xml:space="preserve">
All players. Run by specialist – no planning needed.</t>
        </r>
      </text>
    </comment>
    <comment ref="R9" authorId="0" shapeId="0" xr:uid="{509ADDDF-F086-6341-804C-42934FE041C4}">
      <text>
        <r>
          <rPr>
            <b/>
            <sz val="10"/>
            <color rgb="FF000000"/>
            <rFont val="Tahoma"/>
            <family val="2"/>
          </rPr>
          <t>Alex Lewis:</t>
        </r>
        <r>
          <rPr>
            <sz val="10"/>
            <color rgb="FF000000"/>
            <rFont val="Tahoma"/>
            <family val="2"/>
          </rPr>
          <t xml:space="preserve">
All players. Run by specialist – no planning needed.</t>
        </r>
      </text>
    </comment>
    <comment ref="U9" authorId="0" shapeId="0" xr:uid="{14EADB41-5903-C248-AA37-0BFB84157427}">
      <text>
        <r>
          <rPr>
            <b/>
            <sz val="10"/>
            <color rgb="FF000000"/>
            <rFont val="Tahoma"/>
            <family val="2"/>
          </rPr>
          <t>Alex Lewis:</t>
        </r>
        <r>
          <rPr>
            <sz val="10"/>
            <color rgb="FF000000"/>
            <rFont val="Tahoma"/>
            <family val="2"/>
          </rPr>
          <t xml:space="preserve">
All players. Run by specialist – no planning needed.</t>
        </r>
      </text>
    </comment>
  </commentList>
</comments>
</file>

<file path=xl/sharedStrings.xml><?xml version="1.0" encoding="utf-8"?>
<sst xmlns="http://schemas.openxmlformats.org/spreadsheetml/2006/main" count="904" uniqueCount="611">
  <si>
    <t>Month 1</t>
  </si>
  <si>
    <t>Month 2</t>
  </si>
  <si>
    <t>Month 3</t>
  </si>
  <si>
    <t>Activity / Event</t>
  </si>
  <si>
    <t>Wk 0
(Onboarding)
6 Apr</t>
  </si>
  <si>
    <t>Wk 1
13 Apr</t>
  </si>
  <si>
    <t>Wk 2
20 Apr</t>
  </si>
  <si>
    <t>Wk 3
27 Apr</t>
  </si>
  <si>
    <t>Wk 4
4 May</t>
  </si>
  <si>
    <t>Wk 5
11 May</t>
  </si>
  <si>
    <t>Wk 6
18 May</t>
  </si>
  <si>
    <t>Wk 7
25 May</t>
  </si>
  <si>
    <t>Wk 8
1 Jun</t>
  </si>
  <si>
    <t>Wk 9
8 Jun</t>
  </si>
  <si>
    <t>Wk 10
15 Jun</t>
  </si>
  <si>
    <t>Wk 11
22 Jun</t>
  </si>
  <si>
    <t>Wk 12
29 Jun</t>
  </si>
  <si>
    <t>Batting</t>
  </si>
  <si>
    <t>Module</t>
  </si>
  <si>
    <t>Batting Only?</t>
  </si>
  <si>
    <t>Pace and Spin Pick up/Batting continues</t>
  </si>
  <si>
    <t>Live nets and game Dev</t>
  </si>
  <si>
    <t>Coach</t>
  </si>
  <si>
    <t>Sqaud</t>
  </si>
  <si>
    <t>Assistant</t>
  </si>
  <si>
    <t>Specilaist</t>
  </si>
  <si>
    <t>Jarryd Rodgers</t>
  </si>
  <si>
    <t>Matt Spoors</t>
  </si>
  <si>
    <t xml:space="preserve"> </t>
  </si>
  <si>
    <t>Bowling</t>
  </si>
  <si>
    <t>Peter Hatz</t>
  </si>
  <si>
    <t>Bowl Strong</t>
  </si>
  <si>
    <t>Baj</t>
  </si>
  <si>
    <t>Zac Parr</t>
  </si>
  <si>
    <t>Jason Cox/Sol Athletic Dev</t>
  </si>
  <si>
    <t>Mental</t>
  </si>
  <si>
    <t>Activity 5</t>
  </si>
  <si>
    <t>Activity 17</t>
  </si>
  <si>
    <t>Nutrition</t>
  </si>
  <si>
    <t>Labour Costs</t>
  </si>
  <si>
    <t>Rate</t>
  </si>
  <si>
    <t>Key</t>
  </si>
  <si>
    <t>Eq</t>
  </si>
  <si>
    <t>2 hours per Block (4hour Blocks)</t>
  </si>
  <si>
    <t>Jarryd Rodgers(</t>
  </si>
  <si>
    <t>eq</t>
  </si>
  <si>
    <t>All hours in that week</t>
  </si>
  <si>
    <t>Cricket Mentoring</t>
  </si>
  <si>
    <t xml:space="preserve">Budget </t>
  </si>
  <si>
    <t>Budget Remainig</t>
  </si>
  <si>
    <t>Wk 0 (Onboarding) - 13 Apr</t>
  </si>
  <si>
    <t>Wk 1 - 21 Apr - Assessment Week</t>
  </si>
  <si>
    <t>Wk 2 - 28 Apr</t>
  </si>
  <si>
    <t>Wk 3 - 27 Apr</t>
  </si>
  <si>
    <t>Wk 4 - 4 May</t>
  </si>
  <si>
    <t>Session 1</t>
  </si>
  <si>
    <t>Session 2</t>
  </si>
  <si>
    <t>Hr 1</t>
  </si>
  <si>
    <t>Hr 2</t>
  </si>
  <si>
    <t>Total Hrs</t>
  </si>
  <si>
    <t>BATTING</t>
  </si>
  <si>
    <t>Intro &amp; Assessment</t>
  </si>
  <si>
    <t>Skill Assessment</t>
  </si>
  <si>
    <t>Skill Acquisition</t>
  </si>
  <si>
    <t>Skill Acquisition (P)</t>
  </si>
  <si>
    <t>Skill Expansion</t>
  </si>
  <si>
    <t>Squad Coach</t>
  </si>
  <si>
    <t>Daily Vitamins</t>
  </si>
  <si>
    <t>Batting Baseline Test</t>
  </si>
  <si>
    <t>360 Drill (R)</t>
  </si>
  <si>
    <t>Hitting 3 Ways (R)</t>
  </si>
  <si>
    <t>9 Pin Bowling (R)</t>
  </si>
  <si>
    <t>Dice Roll (R)</t>
  </si>
  <si>
    <t>Red Ball White Ball (R)</t>
  </si>
  <si>
    <t>Opposite Hand (R)</t>
  </si>
  <si>
    <t>Attacking Footwork (R)</t>
  </si>
  <si>
    <t>Hurdle Hop to Spin (P)</t>
  </si>
  <si>
    <t>Heel-Toe Runway (P)</t>
  </si>
  <si>
    <t>Back Foot Heel Release (P)</t>
  </si>
  <si>
    <t>Imposters (R)</t>
  </si>
  <si>
    <t>Death Over Auction (R)</t>
  </si>
  <si>
    <t>Powerplay Blitz (R)</t>
  </si>
  <si>
    <t>Rapid Fire (R)</t>
  </si>
  <si>
    <t>Soft Hands Circle (R)</t>
  </si>
  <si>
    <t>Slot Ball (R)</t>
  </si>
  <si>
    <t>Blind Batting (R)</t>
  </si>
  <si>
    <t>4 Colours Hitting (R)</t>
  </si>
  <si>
    <t>Closed vs Open Gate (R)</t>
  </si>
  <si>
    <t>Pivot Power Station (P)</t>
  </si>
  <si>
    <t>Ladder Feet to Live (P)</t>
  </si>
  <si>
    <t>Dane Rampi (P)</t>
  </si>
  <si>
    <t>Distractions (R)</t>
  </si>
  <si>
    <t>Partnership Powerplay (R)</t>
  </si>
  <si>
    <t>IPL Auction (R)</t>
  </si>
  <si>
    <t>Power Hitting</t>
  </si>
  <si>
    <t>Assess</t>
  </si>
  <si>
    <t>Batting Skill Map</t>
  </si>
  <si>
    <t>Must Go For 6 (R)</t>
  </si>
  <si>
    <t>Slog Sweep (R)</t>
  </si>
  <si>
    <t>Helicopter (P)</t>
  </si>
  <si>
    <t>Inside Out (R)</t>
  </si>
  <si>
    <t>Upper Cut Club (R)</t>
  </si>
  <si>
    <t>Chin Music (R)</t>
  </si>
  <si>
    <t>BOWLING</t>
  </si>
  <si>
    <t>Assessment</t>
  </si>
  <si>
    <t>Bowling Baseline</t>
  </si>
  <si>
    <t>Pace Assessment</t>
  </si>
  <si>
    <t>Strength Assessment</t>
  </si>
  <si>
    <t>Movement Screen</t>
  </si>
  <si>
    <t>Strength &amp; Mobility</t>
  </si>
  <si>
    <t>Athletic Dev</t>
  </si>
  <si>
    <t>Speed &amp; Agility</t>
  </si>
  <si>
    <t>Power Training</t>
  </si>
  <si>
    <t>MENTAL</t>
  </si>
  <si>
    <t>Intro / Goal Setting</t>
  </si>
  <si>
    <t>Mindset Assessment</t>
  </si>
  <si>
    <t>Performance Profiling</t>
  </si>
  <si>
    <t>Goal Setting</t>
  </si>
  <si>
    <t>Focus &amp; Concentration</t>
  </si>
  <si>
    <t>Pressure Training</t>
  </si>
  <si>
    <t>Visualisation Intro</t>
  </si>
  <si>
    <t>Self-Talk Strategies</t>
  </si>
  <si>
    <t>Pre-Performance Routines</t>
  </si>
  <si>
    <t>Game Scenario Debrief</t>
  </si>
  <si>
    <t>Bowling area</t>
  </si>
  <si>
    <t>Regresssion</t>
  </si>
  <si>
    <t>Progression</t>
  </si>
  <si>
    <t>Gamify</t>
  </si>
  <si>
    <t>SKILL ACQUISITION — Physical / Technical Drills</t>
  </si>
  <si>
    <t>360 Drill</t>
  </si>
  <si>
    <t>Underarm feeds, batter nominates zone before each ball, no time pressure</t>
  </si>
  <si>
    <t>Side-arm / bowling machine with random zones called by coach; add movement off the crease; live bowling in lanes. Use cones or tape on nets to mark the 6 hitting zones</t>
  </si>
  <si>
    <t>6 balls, must hit all 6 zones — no repeats allowed. 1 pt per new zone, bonus 3 pts for completing all 6. Consequence: missed zones = extras (push-ups/sprints)</t>
  </si>
  <si>
    <t>Hitting 3 ways - 6, 4, 1</t>
  </si>
  <si>
    <t>Underarm feeds from same spot, batter pre-selects shot order (6, 4, 1) with no time limit between balls</t>
  </si>
  <si>
    <t>Side-arm / machine feeds, coach calls which shot (6, 4 or 1) just before delivery; add live bowling; randomise the order</t>
  </si>
  <si>
    <t>3 balls per set — must execute all 3 shot types. 3 pts for a clean set, 0 if any shot is missed. Best of 5 sets, lowest score does a consequence</t>
  </si>
  <si>
    <t>Opposite hand hitting</t>
  </si>
  <si>
    <t>Static Tee, Tennis balls, Under arms</t>
  </si>
  <si>
    <t>Over arm, Bowling machine, 
Movement off the line, Live bowling</t>
  </si>
  <si>
    <t>Score runs as normal but opposite hand only — highest run total in 12 balls wins. Bonus pts for boundaries</t>
  </si>
  <si>
    <t>Rapid Fire</t>
  </si>
  <si>
    <t>Tennis balls, underarm, slow tempo (2-3 sec between balls). Feet planted, focus on clean contact and bat path</t>
  </si>
  <si>
    <t>Increase tempo (1 sec between balls); switch to side-arm feeds; add harder balls; vary height and line; add directional targets to hit towards</t>
  </si>
  <si>
    <t>Count clean contacts out of 20 balls. Beat your personal best or head-to-head vs partner. Miss = -1 pt, clean hit = +1 pt</t>
  </si>
  <si>
    <t>Attacking footwork with resistance bands</t>
  </si>
  <si>
    <t>Shadow footwork patterns (no ball) with light bands — advance, retreat, lateral. Focus on form and range of motion</t>
  </si>
  <si>
    <t>Add underarm feeds with bands on; progress to side-arm / spin bowling; increase band resistance; add shot selection (drive, defend, sweep)</t>
  </si>
  <si>
    <t>Timed footwork circuits — most correct shots executed in 60 sec with bands on. Head-to-head races, loser keeps bands on for next drill</t>
  </si>
  <si>
    <t>Dane Rampi - Everything must go behind</t>
  </si>
  <si>
    <t>Underarm feeds on leg stump, batter works ball behind square leg only. Static base, no time pressure</t>
  </si>
  <si>
    <t>Side-arm / machine feeds varying line and length — everything must still go behind point or behind square. Add live bowling; mix off-side and leg-side deliveries</t>
  </si>
  <si>
    <t>12 balls — 1 pt per shot placed behind square, 0 for anything in front. Highest score wins. Consequence for any shot hit in front of square</t>
  </si>
  <si>
    <t>Hurdle Hop to Spin</t>
  </si>
  <si>
    <t>Set 3–4 mini hurdles (15–20 cm) in a line down the pitch in front of the crease. Batter performs a forward hop over each hurdle landing on the balls of the feet, finishing in a balanced driving stance at the last hurdle. No ball — pure repetition of the explosive advance-and-land pattern. Coach checks: knees bent, head still, weight forward on landing. Progress to single hurdle at different distances to vary stride length.</t>
  </si>
  <si>
    <t>Underarm spin feeds placed on a good length — batter must clear the hurdles to get to the pitch of the ball before playing a straight drive or on-drive. Progress to side-arm spin with hurdles still in place; vary hurdle spacing each set so the stride pattern changes; add a resistance band around the waist (coach anchors from behind) so the batter drives forward against tension over the hurdles. Remove hurdles but keep the band — batter must replicate the same explosive advance without the visual guide.</t>
  </si>
  <si>
    <t>12 balls of spin — batter must clear the hurdles and hit the ball into a marked target zone (straight/on-side). 3 pts for hitting the target with clean footwork over the hurdles, 1 pt for contact but feet clipped a hurdle, -2 pts for not advancing past the hurdle line. Head-to-head, lowest total does consequence. Add a clock — must complete the set in under 90 sec to keep bonus pts.</t>
  </si>
  <si>
    <t>Closed vs Open Gate</t>
  </si>
  <si>
    <t>Tape two parallel lines ('gate') on the crease mat — one angled closed (front foot pointing toward mid-on), one angled open (front foot pointing toward mid-off). Batter shadow-drills the forward press landing on each gate alternately: 5 reps closed, 5 reps open. Coach films side-on to show the batter their hip alignment and balance point on each. No ball — isolate the foot landing pattern only. Use a mirror or video feed for instant feedback.</t>
  </si>
  <si>
    <t>Add underarm spin feeds — coach calls 'closed' or 'open' before delivery and the batter must land the front foot on the correct gate line when advancing. Progress to side-arm spin where the batter self-selects closed (for working to leg) or open (for driving through cover) based on the line of the ball. Add a weighted vest (3–5 kg) to increase the proprioceptive demand on the landing foot. Progress to live spin — batter must consciously choose and execute the correct gate for each delivery.</t>
  </si>
  <si>
    <t>12 balls of spin — coach secretly records whether the batter landed closed or open on each ball. After the set, batter must recall and state their foot position for each delivery. 2 pts for correct recall + correct execution, 1 pt for correct execution but wrong recall (unconscious competence still rewarded), -1 pt for wrong gate for the shot played. Teaches awareness of foot position, not just instinct. Highest score wins.</t>
  </si>
  <si>
    <t>Heel-Toe Runway</t>
  </si>
  <si>
    <t>Lay a 2m foam strip or taped 'runway' from the crease toward the bowler. Batter practises the forward stride in slow motion: heel lands first, rolls to toe, weight transfers forward through the ball of the foot. Coach watches from side-on for heel-strike, smooth roll, and stable head position. 10 reps per set, no ball. Use a tennis ball under the arch of the back foot to force weight fully off the rear foot and onto the front heel-toe sequence.</t>
  </si>
  <si>
    <t>Add underarm spin feeds at the end of the runway — batter must land heel-first on the runway strip and roll to toe before making contact. If the foot lands flat or toe-first, the rep doesn't count. Progress to side-arm spin; increase feed pace so the batter must execute the heel-toe pattern under time pressure. Add a balance board under the front foot landing zone — batter must stick the heel-toe landing on an unstable surface, then play the shot. Progress to live spin with the runway still taped as a visual guide.</t>
  </si>
  <si>
    <t>12 balls — coach (or camera) judges each landing: 3 pts for clean heel-toe on the runway + good shot, 1 pt for heel-toe but mishit, 0 pts for flat-foot landing, -1 pt for toe-first landing (falling at the ball). Track heel-toe compliance % across sets. Batter must hit 75%+ to 'pass' the drill. Below 75% = repeat the regression set with no ball before re-entering. Head-to-head compliance race.</t>
  </si>
  <si>
    <t>Back Foot Heel Release</t>
  </si>
  <si>
    <t>Place a thin foam pad (or folded towel) under the heel of the back foot while in stance. Batter shadow-drills back foot shots (cut, back foot punch) — the heel must release off the pad and lift as the weight drives forward through the ball. If the pad stays trapped under the heel, the weight is stuck back. 10 reps: 5 cuts, 5 back foot drives. Coach checks from behind for heel lift, hip rotation, and weight moving into the shot. No ball — isolate the release pattern.</t>
  </si>
  <si>
    <t>Add underarm feeds on a back-of-a-length line outside off — batter plays cut or back foot punch, heel must release off the pad on contact. Progress to side-arm pace with the pad still under the heel; add a target cone on the off-side net the batter must hit (forces committed weight transfer, not just a push). Remove the pad but attach a small jingle bell or velcro tag to the heel — coach listens/watches for the release cue. Progress to live pace bowling on a back-of-a-length plan.</t>
  </si>
  <si>
    <t>12 back-of-a-length balls — 3 pts for heel release + ball hitting the off-side target, 1 pt for heel release but missed target, 0 pts for correct shot but heel stayed planted (weight stuck back), -2 pts for no heel release and mishit. Coach reviews slow-mo footage after the set and awards a bonus 5 pts if the batter achieved heel release on 10+ of 12 balls. Lowest score does consequence.</t>
  </si>
  <si>
    <t>Pivot Power Station</t>
  </si>
  <si>
    <t>Place a pivot disc (rotating balance disc or a smooth plastic plate) under the ball of the front foot. Batter takes stance and practises a full front-foot pivot — front foot spins on the disc, hips rotate through, bat follows. No ball — shadow swings only. Focus on: the front toe staying anchored on the disc, the hips opening fully, the back foot dragging around as a consequence of the rotation. 10 reps. Coach checks from front-on for full hip clearance and bat path following the body rotation.</t>
  </si>
  <si>
    <t>Add underarm half-volleys on middle/leg — batter must pivot on the disc and drive through mid-wicket or cow corner with full rotation. Progress to side-arm feeds; add a resistance band around the hips (anchored behind) so the batter must pivot against resistance to clear the hips. Remove the disc but keep the band — batter must replicate the same rotational force on a normal surface. Progress to live bowling on a full/overpitched plan. Add a bat speed radar to measure swing speed with and without the disc/band.</t>
  </si>
  <si>
    <t>6-ball power sets — bat speed measured on each ball. 3 pts for a ball that exceeds the batter's baseline bat speed (measured in warm-up without disc), 1 pt for matching baseline, -1 pt for below baseline. Bonus 5 pts if all 6 balls exceed baseline. Coach also scores pivot quality (0–2 per ball) based on hip clearance and follow-through. Combined score across speed + technique. Lowest total does consequence. Track bat speed improvement over weeks.</t>
  </si>
  <si>
    <t>Ladder Feet to Live Ball</t>
  </si>
  <si>
    <t>Set a speed ladder on the crease line running sideways. Batter performs a designated footwork pattern through the ladder (e.g., icky shuffle, lateral two-feet-in-each-box, crossover steps) and at the final box must plant into a batting stance and hold for 2 sec. No ball — drill the transition from fast feet to stable, balanced stance. 5 reps per pattern. Coach checks: last step lands in a strong base, head still, hands ready, weight balanced. Vary the ladder pattern each set.</t>
  </si>
  <si>
    <t>Add a feed immediately as the batter exits the ladder — underarm first, then side-arm. Batter completes the ladder pattern and must be set to play a shot within 1 sec of finishing. Vary the ladder exit direction: exiting forward = drives against spin, exiting laterally = cuts/pulls off pace. Add a resistance band on the waist during the ladder to increase load. Progress to live bowling — batter does the ladder, coach feeds the next ball with zero pause. Vary ladder patterns between sets so the footwork stimulus keeps changing.</t>
  </si>
  <si>
    <t>Timed runs — batter completes the ladder + plays 6 balls. Clock starts when they enter the ladder, stops after the 6th shot. Fastest combined time with clean contacts wins. 2 pts per clean contact, -1 pt per miss, -3 pts for stumbling in the ladder. Bonus 3 pts for completing all 6 shots in under 30 sec. Head-to-head elimination bracket — slowest pair each round does a harder ladder pattern for the next round.</t>
  </si>
  <si>
    <t>Must go for 6</t>
  </si>
  <si>
    <t>Underarm half-volleys on a hitting arc, batter works on full swing mechanics and contact point. Tee work for loft and power</t>
  </si>
  <si>
    <t>Side-arm / machine with varied lengths; must still go for max power. Use target zones on nets (top half = 6, bottom half = out). Live bowling in lane — anything not hitting the top target zone is out</t>
  </si>
  <si>
    <t>6 balls per over — 1 pt for hitting the upper target zone on the net, 3 pts for hitting the top of the net or roof zone. Head-to-head: highest total wins, lowest does consequence</t>
  </si>
  <si>
    <t>Challenge</t>
  </si>
  <si>
    <t>Sweeps</t>
  </si>
  <si>
    <t>Kneeling sweep off a tee or underarm feed — conventional sweep only. Focus on head position, contact point, and roll of the wrists</t>
  </si>
  <si>
    <t>Add reverse sweep and paddle sweep variations; progress to side-arm spin feeds; then live spin bowling. Vary length — batter selects sweep type</t>
  </si>
  <si>
    <t>12 balls vs spin — nominate sweep type before delivery. 2 pts for correct execution, 1 pt for contact, 0 for a miss. Bonus 3 pts for hitting all 3 sweep types. Lowest score does consequence</t>
  </si>
  <si>
    <t>Power play</t>
  </si>
  <si>
    <t>Helicopter</t>
  </si>
  <si>
    <t>Tee work — ball on leg stump, batter practises wrist roll and helicopter follow-through in isolation. Shadow swings then tee hits, no pace</t>
  </si>
  <si>
    <t>Underarm yorker-length feeds on leg stump; progress to side-arm / machine yorkers; add off-stump deliveries that must be worked to leg using helicopter; live bowling with yorker focus</t>
  </si>
  <si>
    <t>6-ball sets of yorkers — 2 pts for a clean helicopter that hits the upper net zone, 1 pt for contact with correct technique, 0 for a miss. Head-to-head, highest total wins. Bonus 3 pts for hitting the roof net</t>
  </si>
  <si>
    <t>Modify Balls with tape</t>
  </si>
  <si>
    <t>Middle overs against spin</t>
  </si>
  <si>
    <t>Scoop Dog</t>
  </si>
  <si>
    <t>Underarm yorker-length feeds, batter practises the ramp/scoop on a knee with no pace. Focus on bat angle, wrist position, and guiding the ball over the keeper</t>
  </si>
  <si>
    <t>Side-arm yorkers increasing in pace; place cone targets behind the keeper position in the lane for the scoop to beat; mix in slower ball variations the batter must read before scooping; live bowling with a yorker plan — batter picks when to scoop</t>
  </si>
  <si>
    <t>6 balls per set — 3 pts for a scoop that clears the keeper zone (past the cone line), 1 pt for contact with correct technique, -2 pts for a catch to the keeper. Best of 3 sets, lowest total does consequence</t>
  </si>
  <si>
    <t>scoring against swing</t>
  </si>
  <si>
    <t>Finishing the game</t>
  </si>
  <si>
    <t>Switch Hitter</t>
  </si>
  <si>
    <t>Shadow switch-hit stance changes (no ball). Then tee work — batter practises grip change, stance swap, and contact point from the switch position</t>
  </si>
  <si>
    <t>Underarm feeds with switch hit as default stance; progress to side-arm spin; add the option to stay orthodox or switch per ball; live bowling where batter must switch-hit at least 2 balls per over</t>
  </si>
  <si>
    <t>6 balls per over — must switch-hit minimum 2. Clean switch-hit boundary = 5 pts, clean contact = 2 pts, missed execution = -1 pt. Bonus 3 pts for switching both sides in the same over. Head-to-head</t>
  </si>
  <si>
    <t>Inside Out</t>
  </si>
  <si>
    <t>Underarm feeds outside off stump. Batter practises stepping across and lofting inside-out over cover. Tee work for bat path and weight transfer</t>
  </si>
  <si>
    <t>Side-arm / machine feeds mixing length — batter must still hit inside-out regardless of length; place a high target on the off-side net to clear; live spin bowling where batter creates the angle; add straighter deliveries batter must leave</t>
  </si>
  <si>
    <t>12 balls — 3 pts for hitting the elevated off-side target, 1 pt for finding the gap along the ground past off-side cones, -1 pt for a catch at cover. Track % of balls placed through the off-side arc. Highest total wins, lowest does consequence</t>
  </si>
  <si>
    <t>Slog Sweep Showdown</t>
  </si>
  <si>
    <t>Kneeling on one knee, tee work for slog sweep — focus on getting under the ball, head still, full extension of arms. Tennis ball underarm feeds on middle/leg</t>
  </si>
  <si>
    <t>Underarm spin feeds with full stance; progress to side-arm and live spin; add length variation — batter must judge which ball to slog sweep vs conventional sweep; place elevated targets on the leg-side net to clear</t>
  </si>
  <si>
    <t>12 balls vs spin — must slog sweep minimum 6. Hitting the elevated leg-side target = 3 pts, along the ground past cone line = 1 pt, top edge/caught = -2 pts. Head-to-head, highest total wins. Loser faces faster spin next round</t>
  </si>
  <si>
    <t>Upper Cut Club</t>
  </si>
  <si>
    <t>Tennis ball short-and-wide feeds underarm. Batter practises opening the face and guiding over slip/point. No pace — focus on wrist angle and timing the late cut upward</t>
  </si>
  <si>
    <t>Side-arm short-and-wide at pace; progress to bowling machine with bounce; place an elevated target behind/above the off-side net for the upper cut to beat; live fast bowling with deliberate short-wide plans; mix with bouncers at the body to test shot selection</t>
  </si>
  <si>
    <t>12 short balls — 3 pts for upper cut hitting the elevated target zone, 2 pts for along the ground past off-side cones, -2 pts for caught behind (keeper in lane). Combine with Chin Music in a 'short ball championship' — overall total across both drills determines winner</t>
  </si>
  <si>
    <t>Chin Music</t>
  </si>
  <si>
    <t>Tennis ball short-pitch feeds underarm from close range. Batter practises back-and-across trigger, sway, duck, and pull. No pace, groove the positions</t>
  </si>
  <si>
    <t>Side-arm bouncers; bowling machine on short length at increasing pace; add a hook and upper-cut option; live bowling with a short-pitch plan — batter must score off 50% of short balls</t>
  </si>
  <si>
    <t>12 short balls — duck/sway the right ones = 1 pt, clean pull/hook into the net = 3 pts, getting hit = -2 pts, top edge = -1 pt. Head-to-head, highest total wins. Bonus 3 pts for an upper-cut that hits the upper net target</t>
  </si>
  <si>
    <t>Soft Hands Circle</t>
  </si>
  <si>
    <t>Large circle (2m), tennis ball underarm feeds, batter focuses on dead-batting the ball inside the circle. No catching pressure</t>
  </si>
  <si>
    <t>Shrink circle to 1.5m then 1m; increase feed speed to side-arm; add fielders for one-hand-one-bounce catches inside the circle; add spin deliveries</t>
  </si>
  <si>
    <t>Batter gets 1 pt for each ball kept inside the circle. Caught one-hand-one-bounce inside = batter loses 2 pts (fielder gains 2). Survive 12 balls, highest batter score wins. Lowest score bats next with smaller circle</t>
  </si>
  <si>
    <t>Mishit Recovery</t>
  </si>
  <si>
    <t>Batter deliberately uses the toe or edge of the bat off underarm feeds — focus on body position and wrist adjustment to still place the ball safe. No pace</t>
  </si>
  <si>
    <t>Side-arm feeds at pace; batter faces deliveries that are intentionally hard to middle (wide yorkers, back-of-a-length) — must still score; add a catcher/keeper in the lane; live bowling with a plan to induce edges</t>
  </si>
  <si>
    <t>12 balls designed to be hard to middle. 2 pts for any run scored, 3 pts for a boundary, -1 pt for a catch. Teaches that not every shot is clean — best scramblers win. Head-to-head, lowest does consequence</t>
  </si>
  <si>
    <t>SKILL EXPANSION — Open Skills / Decision-Making Drills</t>
  </si>
  <si>
    <t>9 Pin Bowling</t>
  </si>
  <si>
    <t>3 stumps behind batter (standard set), underarm feeds — batter must protect stumps and make contact with every ball</t>
  </si>
  <si>
    <t>Add 6 then 9 stumps behind batter; progress to side-arm and live bowling; remove stumps entirely — batter must hit every ball to protect the back wall</t>
  </si>
  <si>
    <t>Each stump knocked over = -2 pts. Clean contact = +1 pt. Survive a full over (6 balls) with all stumps standing = bonus 5 pts. Head-to-head, most pts after 3 overs wins</t>
  </si>
  <si>
    <t>Imposters</t>
  </si>
  <si>
    <t>Small group (3-4 batters), coach assigns the 'imposter' target score privately. Underarm feeds, low pressure, learn the concept</t>
  </si>
  <si>
    <t>Increase group size; add live bowling; imposter's target becomes harder to hide (e.g., must score exactly 10 while others avoid 10); use adjacent lanes so group can watch each other bat and read intent</t>
  </si>
  <si>
    <t>Group votes on who the imposter is after each round. Imposter gets bonus 5 pts if undetected. If caught, consequence for imposter. Non-imposters lose pts if they accidentally hit the imposter's target</t>
  </si>
  <si>
    <t>Dice Roll - Score based</t>
  </si>
  <si>
    <t>Roll dice before each ball — number determines shot type (e.g., 1=defend, 2=drive, 3=pull, 4=cut, 5=sweep, 6=free hit). Underarm feeds</t>
  </si>
  <si>
    <t>Add side-arm / live bowling; reduce thinking time between roll and delivery; add a second dice for direction (e.g., odd=off side, even=leg side)</t>
  </si>
  <si>
    <t>2 pts for executing the correct shot cleanly, 1 pt for contact, 0 for wrong shot. Roll a 6 = free hit worth double points. Highest total after 12 balls wins</t>
  </si>
  <si>
    <t>Red ball white ball - Hide the ball skills</t>
  </si>
  <si>
    <t>Two colour balls fed underarm in a predictable pattern (e.g., alternating). Batter learns to identify colour early and adjust (e.g., red=defend, white=attack)</t>
  </si>
  <si>
    <t>Random colour order; add side-arm / machine feeds; reduce reaction time; add a 3rd colour with a new rule (e.g., yellow=leave). Progress to live bowling with coloured balls</t>
  </si>
  <si>
    <t>1 pt for correct response to colour cue, -1 pt for wrong response. Bonus 2 pts for a boundary off the attack ball. 12-ball sets, head-to-head, lowest score does consequence</t>
  </si>
  <si>
    <t>Blind batting - Distraction</t>
  </si>
  <si>
    <t>Light tape across top of grille (partial vision), underarm feeds at medium pace. Focus on trusting hands and instinct</t>
  </si>
  <si>
    <t>Increase tape coverage to reduce vision further; progress to side-arm and machine feeds; add variation in line and length; progress to near-full obstruction with live bowling</t>
  </si>
  <si>
    <t>Score clean contacts out of 12 balls. 1 pt per clean hit, bonus 2 pts for a boundary. Compare scores across vision levels. Head-to-head at same tape level, lowest does consequence</t>
  </si>
  <si>
    <t>Distractions</t>
  </si>
  <si>
    <t>Single distraction type (e.g., coach calling out numbers during delivery), underarm feeds, batter focuses on ball only</t>
  </si>
  <si>
    <t>Layer multiple distractions — verbal, visual (waving), physical (obstacles near crease). Progress to side-arm and live bowling with crowd noise / music playing</t>
  </si>
  <si>
    <t>Batter must answer the distraction question AND hit the ball. 1 pt for clean contact, 1 pt for correct answer = 2 pts max per ball. 12 balls, highest total wins</t>
  </si>
  <si>
    <t>4 Colours Hitting</t>
  </si>
  <si>
    <t>2 colour balls thrown underarm, one at a time. Coach calls colour before delivery — batter only hits the called colour, lets the other pass</t>
  </si>
  <si>
    <t>Increase to 3 then 4 colours thrown simultaneously; coach calls colour mid-flight; reduce reaction time; add side-arm pace; add a 'leave' colour where batter must duck/sway</t>
  </si>
  <si>
    <t>1 pt for hitting the correct colour, -1 pt for hitting the wrong colour, -1 pt for missing the called colour. 20-ball sets, highest score wins. Bonus round: 2 colours called at once</t>
  </si>
  <si>
    <t>Slot Ball</t>
  </si>
  <si>
    <t>Coach feeds 6 balls underarm — 3 are 'slot balls' (half-volleys) and 3 are 'dots' (good length). Batter must only attack the slot balls and defend/leave the dots</t>
  </si>
  <si>
    <t>Side-arm / machine with randomised lengths; reduce the slot balls to 2 per over then 1; add live bowling — batter must identify and punish only the bad ball; add a 'trap ball' (wide half-volley that's actually a caught-behind setup)</t>
  </si>
  <si>
    <t>6 balls per over — boundary off a slot ball = 4 pts, defending a good ball = 1 pt, attacking a good ball = -2 pts, missing a slot ball = -3 pts. Teaches patience AND aggression. Best of 3 overs wins</t>
  </si>
  <si>
    <t>Death Over Auction</t>
  </si>
  <si>
    <t>Batter faces underarm feeds, told they need 12 off 6. No fielders, no time pressure, just practise shot selection for boundary vs rotation</t>
  </si>
  <si>
    <t>Side-arm / machine at death pace (140+); use tape targets on nets for scoring zones (e.g., top net = 6, side net past a cone line = 4); vary required target each set (8 off 4, 15 off 6); add live bowling in lane with a bowling plan</t>
  </si>
  <si>
    <t>Each batter gets 6 balls. Scoreboard displayed — must reach target. Beat the target = 5 pts, tie = 2 pts, fail = consequence. Tournament bracket format, last batter standing wins</t>
  </si>
  <si>
    <t>Powerplay Blitz</t>
  </si>
  <si>
    <t>Underarm feeds in lane, cone targets placed on off-side and leg-side nets. Batter works on lofted drives and pulls into target zones — no pressure on tempo</t>
  </si>
  <si>
    <t>Side-arm / machine feeds; coach sets a par score per over; add live bowling; batter must hit targets on both sides of the net each over. Use run-up area for an open hitting space with 360° targets</t>
  </si>
  <si>
    <t>6-ball overs, par score set at 10+. Beat par = 3 pts, match par = 1 pt. Bonus 2 pts for hitting targets on both sides of the net in the same over. Lowest total after 3 overs does consequence</t>
  </si>
  <si>
    <t>Relay Runners</t>
  </si>
  <si>
    <t>Pairs batting in a lane — soft underarms, focus on calling ('yes/no/wait'), backing up, and turning between cones set 16m apart in the run-up area. No dismissals, just reps on communication</t>
  </si>
  <si>
    <t>Add a feeder returning the ball from the run-up area to create run-out pressure; side-arm feeds; add a 2nd run option where pairs must judge if 2 is on; tighten the cone distance to increase urgency</t>
  </si>
  <si>
    <t>Pairs race — most runs between cones in 12 balls wins. 1 pt per run, bonus 3 pts for a successful 2. Run out (ball hits cones before batter crosses) = -5 pts. Head-to-head pairs tournament, slowest pair does consequence</t>
  </si>
  <si>
    <t>Partnership Powerplay</t>
  </si>
  <si>
    <t>Pairs batting off underarms, both batters must contribute — neither batter can face more than 3 consecutive balls. Focus on rotating strike and communication</t>
  </si>
  <si>
    <t>Add live bowling in lane; one batter is designated 'anchor' (max 1 target hit per over) and the other is 'striker' (must hit 8+ points per over); swap roles each over; rotate lanes between overs to simulate field changes</t>
  </si>
  <si>
    <t>Pair gets 4 overs together. Combined target (e.g., 48 runs). Both batters must score min 15 individually — pair fails if either falls short. Beat the target = 5 pts per pair. Losing pair does consequence</t>
  </si>
  <si>
    <t>Middle Overs Masterclass</t>
  </si>
  <si>
    <t>Underarm spin feeds in lane with cone targets placed in gaps (cover, mid-wicket, straight). Batter works placement — nurdle to leg, punch through cover, work off the pads. No power required, just finding the cones</t>
  </si>
  <si>
    <t>Live spin bowling in lane with set cone targets; batter must rotate strike every 2 balls (run between cones in run-up area); add a 'release ball' rule — coach calls one ball per over where batter must go for a target hit; vary spin types (leg, off, left-arm)</t>
  </si>
  <si>
    <t>12-ball sets — 1 pt per single, 2 pts per 2, 4 pts for a boundary off the release ball, -2 pts for a dot. Highest total after 2 sets wins. Dot-ball percentage tracked — worst % does consequence</t>
  </si>
  <si>
    <t>Fatigue Finisher</t>
  </si>
  <si>
    <t>Batter does a light jog then faces 6 underarm feeds. Focus on maintaining technique when slightly elevated heart rate. Controlled environment</t>
  </si>
  <si>
    <t>Increase physical intensity before each set (shuttle runs, burpees, battle ropes); reduce rest between sets; progress to side-arm and live bowling immediately after max effort sprints; add scoreboard pressure (must chase a target)</t>
  </si>
  <si>
    <t>3 sets of 6 balls, each preceded by a fitness effort (set 1 = light jog, set 2 = shuttle runs, set 3 = max sprint). Score tracked across all 3 sets. Total runs scored, minus 5 pts for every dot. Tests who holds technique under fatigue</t>
  </si>
  <si>
    <t>IPL Auction</t>
  </si>
  <si>
    <t>Batters face underarms and 'bid' on which shot they'll play before each ball (e.g., 'I'll hit a cover drive'). Low stakes, learning to commit to pre-meditated decisions</t>
  </si>
  <si>
    <t>Add side-arm / live bowling; increase bid specificity ('cover drive for 4 past point'); add a veto — coach can reject the bid and assign a harder shot; batter must still execute the called shot regardless of delivery</t>
  </si>
  <si>
    <t>Each batter 'buys' 6 shots in an auction (e.g., 3 cover drives, 2 pulls, 1 sweep). They only score points for executing their purchased shots. Unplanned shots = 0 pts. Clean execution = 3 pts. Squad drafts shot portfolios, highest combined team score wins</t>
  </si>
  <si>
    <t>Reverse Roles</t>
  </si>
  <si>
    <t>Coach identifies each batter's natural style (power/anchor, front-foot/back-foot, orthodox/unorthodox). Batter faces underarm feeds and must play the complete opposite — power hitters accumulate, accumulators attack, front-foot players stay back, orthodox players play reverse/scoop/switch. Low pace, focus on expanding the toolkit</t>
  </si>
  <si>
    <t>Side-arm / machine feeds where batter must maintain the opposite role for a full 12-ball set; add live bowling in lane; coach calls 'switch' mid-over forcing immediate role change; combine mindset reversal with technique reversal (e.g., aggressive anchor who must now attack off the back foot only)</t>
  </si>
  <si>
    <t>12-ball sets scored by role compliance — coach rates each shot: 2 pts if it matches the opposite role, 1 pt for partial, 0 for reverting to natural game, -1 pt for a full comfort-zone shot. Bonus 5 pts for completing a full over without reverting. Head-to-head between two opposite-style batters — both playing each other's game, highest compliance score wins</t>
  </si>
  <si>
    <t xml:space="preserve">Daily Vitamins </t>
  </si>
  <si>
    <t>Coaching points</t>
  </si>
  <si>
    <t xml:space="preserve">Bat Speed, power, hand eye, reaction time, shapes/balance, cognative plasticity, </t>
  </si>
  <si>
    <t>Knee sweeping both sides</t>
  </si>
  <si>
    <t>Underarms Drives, cuts and pulls (Plus Weighted Balls)</t>
  </si>
  <si>
    <t>Batting rules</t>
  </si>
  <si>
    <t>max 3 balls at a time</t>
  </si>
  <si>
    <t>Running 3's</t>
  </si>
  <si>
    <t>MONTH 1 — SESSION-BY-SESSION PLANS</t>
  </si>
  <si>
    <t>WEEK 1 — Assessment Week (13 Apr)</t>
  </si>
  <si>
    <t>WEEK 2 — Skill Acquisition (21 Apr)</t>
  </si>
  <si>
    <t>WEEK 3 — Skill Acquisition P (28 Apr)</t>
  </si>
  <si>
    <t>WEEK 4 — Skill Expansion (4 May)</t>
  </si>
  <si>
    <t>Timing / Duration</t>
  </si>
  <si>
    <t>— Water / Transition —</t>
  </si>
  <si>
    <t>BOWLING / S&amp;C</t>
  </si>
  <si>
    <t>MENTAL PERFORMANCE</t>
  </si>
  <si>
    <t>Batting Baseline Test
(Full squad assessment)</t>
  </si>
  <si>
    <t>Bowling Baseline
(Bowl Strong)</t>
  </si>
  <si>
    <t>Pace Assessment
(Bowl Strong)</t>
  </si>
  <si>
    <t>Strength &amp; Mobility
(Jason Cox/Sol)</t>
  </si>
  <si>
    <t>Athletic Dev
(Jason Cox/Sol)</t>
  </si>
  <si>
    <t>Speed &amp; Agility
(Jason Cox/Sol)</t>
  </si>
  <si>
    <t>Power Training
(Jason Cox/Sol)</t>
  </si>
  <si>
    <t>STAFFING</t>
  </si>
  <si>
    <t>✓</t>
  </si>
  <si>
    <t>Assistant Coach</t>
  </si>
  <si>
    <t>Jason Cox / Sol</t>
  </si>
  <si>
    <t>0:00–0:10 (10 min)
Warm-up</t>
  </si>
  <si>
    <t>0:10–0:25 (15 min)
Drill 1</t>
  </si>
  <si>
    <t>0:25–0:40 (15 min)
Drill 2</t>
  </si>
  <si>
    <t>Jarryd: Assess +
Batting Skill Map</t>
  </si>
  <si>
    <t>0:40–0:55 (15 min)
Drill 3</t>
  </si>
  <si>
    <t>0:55–1:00 (5 min)</t>
  </si>
  <si>
    <t>1:00–1:15 (15 min)
Block 1</t>
  </si>
  <si>
    <t>1:15–1:30 (15 min)
Block 2</t>
  </si>
  <si>
    <t>1:30–1:45 (15 min)
Block 3</t>
  </si>
  <si>
    <t>1:45–1:50 (5 min)</t>
  </si>
  <si>
    <t>1:50–2:00 (10 min)</t>
  </si>
  <si>
    <t>NOTES</t>
  </si>
  <si>
    <t>(R) = Regression version  |  (P) = Progression version  |  Daily Vitamins = Standard warm-up routine (rapid fire, knee sweeps, underarm drives/cuts/pulls)</t>
  </si>
  <si>
    <t>Squad Coach runs main group. Assistant Coach runs parallel drills with split group. Specialists run their blocks as scheduled above.</t>
  </si>
  <si>
    <t>Jarryd Rodgers: Power Hitting specialist from Wk 3–4. Jason Cox/Sol: S&amp;C in Wk 2 only. Bowl Strong: Bowling assessment Wk 1 only.</t>
  </si>
  <si>
    <t>ACTIVITY LIBRARY — COACH DELIVERY GUIDE</t>
  </si>
  <si>
    <t>#</t>
  </si>
  <si>
    <t>Activity Name</t>
  </si>
  <si>
    <t>Category</t>
  </si>
  <si>
    <t>Regression (R)
Starting Point</t>
  </si>
  <si>
    <t>Progression (P)
Challenge Up</t>
  </si>
  <si>
    <t>Gamify
Competition Mode</t>
  </si>
  <si>
    <t>Equipment Needed</t>
  </si>
  <si>
    <t>Batting Zones</t>
  </si>
  <si>
    <t>Cones/tape for zones, balls, tee (optional)</t>
  </si>
  <si>
    <t>Hitting 3 Ways (6, 4, 1)</t>
  </si>
  <si>
    <t>Shot Selection</t>
  </si>
  <si>
    <t>Balls, bowling machine (optional)</t>
  </si>
  <si>
    <t>Opposite Hand Hitting</t>
  </si>
  <si>
    <t>Bat Speed / Adaptability</t>
  </si>
  <si>
    <t>Over arm, Bowling machine, movement off the line, Live bowling</t>
  </si>
  <si>
    <t>Tennis balls, tee</t>
  </si>
  <si>
    <t>Hand-Eye / Reaction</t>
  </si>
  <si>
    <t>Tennis balls, harder balls</t>
  </si>
  <si>
    <t>Attacking Footwork (Resistance Bands)</t>
  </si>
  <si>
    <t>Footwork / Power</t>
  </si>
  <si>
    <t>Resistance bands, balls</t>
  </si>
  <si>
    <t>Dane Rampi (Everything Behind)</t>
  </si>
  <si>
    <t>Placement / Wrists</t>
  </si>
  <si>
    <t>Balls, cones for markers</t>
  </si>
  <si>
    <t>Footwork / Spin Play</t>
  </si>
  <si>
    <t>Set 3-4 mini hurdles (15-20 cm) in front of crease. Batter hops over each landing on balls of feet, finishing in balanced driving stance. No ball — pure repetition. Coach checks: knees bent, head still, weight forward on landing.</t>
  </si>
  <si>
    <t>Underarm spin feeds on good length — batter must clear hurdles to get to pitch of ball before playing straight/on-drive. Progress to side-arm spin; vary hurdle spacing; add resistance band around waist so batter drives forward against tension.</t>
  </si>
  <si>
    <t>12 balls of spin — 3 pts for hitting target with clean footwork over hurdles, 1 pt for contact but feet clipped hurdle, -2 pts for not advancing past hurdle line. Head-to-head, add clock — under 90 sec to keep bonus pts.</t>
  </si>
  <si>
    <t>Mini hurdles (15-20cm), resistance band, balls</t>
  </si>
  <si>
    <t>Foot Position Awareness</t>
  </si>
  <si>
    <t>Tape two parallel lines ('gate') on crease mat — one closed (front foot toward mid-on), one open (toward mid-off). Shadow-drill 5 reps each. Coach films side-on for hip alignment. No ball.</t>
  </si>
  <si>
    <t>Add underarm spin feeds — coach calls 'closed' or 'open' before delivery. Progress to side-arm spin where batter self-selects based on line. Add weighted vest (3-5 kg). Progress to live spin.</t>
  </si>
  <si>
    <t>12 balls — coach records landing, batter must recall foot position after. 2 pts correct recall + execution, 1 pt correct execution wrong recall, -1 pt wrong gate. Teaches awareness.</t>
  </si>
  <si>
    <t>Tape, camera/phone, weighted vest</t>
  </si>
  <si>
    <t>Weight Transfer</t>
  </si>
  <si>
    <t>Lay 2m foam strip from crease toward bowler. Batter practises forward stride in slow motion: heel lands first, rolls to toe. Coach watches side-on. 10 reps, no ball. Tennis ball under arch of back foot to force weight forward.</t>
  </si>
  <si>
    <t>Add underarm spin feeds — batter must land heel-first on runway strip before contact. Flat/toe-first = doesn't count. Progress to side-arm spin; add balance board under front foot landing zone. Progress to live spin.</t>
  </si>
  <si>
    <t>12 balls — 3 pts for clean heel-toe + good shot, 1 pt heel-toe but mishit, 0 flat-foot, -1 toe-first. Track compliance %. Must hit 75%+ to pass. Below = repeat regression.</t>
  </si>
  <si>
    <t>Foam strip/tape, tennis ball, balance board</t>
  </si>
  <si>
    <t>Back Foot Technique</t>
  </si>
  <si>
    <t>Place foam pad under heel of back foot. Shadow-drill cuts and back foot punches — heel must release off pad. If pad stays trapped, weight is stuck back. 10 reps. Coach checks from behind.</t>
  </si>
  <si>
    <t>Add underarm feeds on back-of-a-length outside off. Progress to side-arm pace; add target cone on off-side. Remove pad, attach jingle bell/velcro to heel. Progress to live pace bowling.</t>
  </si>
  <si>
    <t>12 balls — 3 pts heel release + target hit, 1 pt release no target, 0 correct shot heel planted, -2 no release + mishit. Bonus 5 pts for 10+ releases out of 12. Lowest does consequence.</t>
  </si>
  <si>
    <t>Foam pad/towel, jingle bell/velcro, target cone</t>
  </si>
  <si>
    <t>Hip Rotation / Power</t>
  </si>
  <si>
    <t>Place pivot disc under ball of front foot. Shadow swings only — front toe anchored on disc, hips open fully, back foot drags. 10 reps. Coach checks front-on for hip clearance.</t>
  </si>
  <si>
    <t>Add underarm half-volleys on middle/leg — pivot on disc and drive through mid-wicket. Add resistance band around hips. Remove disc keep band. Progress to live bowling. Add bat speed radar.</t>
  </si>
  <si>
    <t>6-ball power sets — bat speed measured. 3 pts exceeding baseline, 1 pt matching, -1 below. Bonus 5 pts all 6 exceed baseline. Coach scores pivot quality 0-2 per ball. Track bat speed over weeks.</t>
  </si>
  <si>
    <t>Pivot disc/plate, resistance band, bat speed radar</t>
  </si>
  <si>
    <t>Agility / Transition</t>
  </si>
  <si>
    <t>Speed ladder on crease line. Batter performs footwork pattern and plants into batting stance at final box. Hold 2 sec. 5 reps per pattern. Coach checks: strong base, head still, hands ready.</t>
  </si>
  <si>
    <t>Add feed immediately as batter exits ladder. Vary exit direction. Add resistance band during ladder. Progress to live bowling with zero pause. Vary patterns between sets.</t>
  </si>
  <si>
    <t>Timed — ladder + 6 balls. 2 pts clean contact, -1 miss, -3 stumble. Bonus 3 pts all 6 in under 30 sec. Head-to-head elimination bracket.</t>
  </si>
  <si>
    <t>Speed ladder, resistance band, balls</t>
  </si>
  <si>
    <t>Must Go For 6</t>
  </si>
  <si>
    <t>Underarm half-volleys on hitting arc, full swing mechanics and contact point. Tee work for loft and power</t>
  </si>
  <si>
    <t>Side-arm / machine with varied lengths; must still go for max power. Target zones on nets (top = 6, bottom = out). Live bowling — anything not hitting top zone is out</t>
  </si>
  <si>
    <t>6 balls per over — 1 pt for upper target zone, 3 pts for top of net/roof zone. Head-to-head: highest wins, lowest does consequence</t>
  </si>
  <si>
    <t>Tee, balls, tape for target zones</t>
  </si>
  <si>
    <t>Sweep Technique</t>
  </si>
  <si>
    <t>Kneeling sweep off tee or underarm feed — conventional sweep only. Focus on head position, contact point, wrist roll</t>
  </si>
  <si>
    <t>Add reverse sweep and paddle sweep; progress to side-arm spin then live spin. Vary length — batter selects sweep type</t>
  </si>
  <si>
    <t>12 balls vs spin — nominate sweep type before delivery. 2 pts correct execution, 1 pt contact, 0 miss. Bonus 3 pts for all 3 types. Lowest does consequence</t>
  </si>
  <si>
    <t>Tee, balls</t>
  </si>
  <si>
    <t>Power / Wrist Work</t>
  </si>
  <si>
    <t>Tee work — ball on leg stump, practise wrist roll and helicopter follow-through. Shadow swings then tee hits, no pace</t>
  </si>
  <si>
    <t>Underarm yorker-length feeds on leg stump; progress to side-arm/machine yorkers; add off-stump deliveries; live bowling with yorker focus</t>
  </si>
  <si>
    <t>6-ball sets of yorkers — 2 pts clean helicopter upper net zone, 1 pt correct technique, 0 miss. Head-to-head. Bonus 3 pts for roof net</t>
  </si>
  <si>
    <t>Tee, balls, tape balls (optional)</t>
  </si>
  <si>
    <t>Ramp / Innovation</t>
  </si>
  <si>
    <t>Underarm yorker-length feeds, practise ramp/scoop on a knee with no pace. Focus on bat angle, wrist position, guiding over keeper</t>
  </si>
  <si>
    <t>Side-arm yorkers increasing pace; cone targets behind keeper position; mix slower ball variations; live bowling — batter picks when to scoop</t>
  </si>
  <si>
    <t>6 balls — 3 pts scoop clears keeper zone, 1 pt correct technique, -2 catch to keeper. Best of 3 sets, lowest does consequence</t>
  </si>
  <si>
    <t>Cone targets, balls</t>
  </si>
  <si>
    <t>Adaptability</t>
  </si>
  <si>
    <t>Shadow switch-hit stance changes (no ball). Tee work — grip change, stance swap, contact point from switch position</t>
  </si>
  <si>
    <t>Underarm feeds with switch hit as default; progress to side-arm spin; add option to stay orthodox or switch per ball; live bowling must switch-hit 2+ balls per over</t>
  </si>
  <si>
    <t>6 balls — must switch-hit min 2. Boundary = 5 pts, clean contact = 2 pts, missed = -1. Bonus 3 pts both sides in same over. Head-to-head</t>
  </si>
  <si>
    <t>Loft / Placement</t>
  </si>
  <si>
    <t>Underarm feeds outside off stump. Step across and loft inside-out over cover. Tee work for bat path and weight transfer</t>
  </si>
  <si>
    <t>Side-arm/machine mixing length — must hit inside-out regardless; high target on off-side net; live spin where batter creates angle; add straighter deliveries to leave</t>
  </si>
  <si>
    <t>12 balls — 3 pts elevated off-side target, 1 pt gap along ground, -1 catch at cover. Track % through off-side arc. Highest wins</t>
  </si>
  <si>
    <t>Tee, elevated target, cones</t>
  </si>
  <si>
    <t>Power Sweep</t>
  </si>
  <si>
    <t>Kneeling, tee work for slog sweep — get under ball, head still, full arm extension. Tennis ball underarm feeds on middle/leg</t>
  </si>
  <si>
    <t>Underarm spin with full stance; progress to side-arm and live spin; add length variation; elevated leg-side targets to clear</t>
  </si>
  <si>
    <t>12 balls vs spin — must slog sweep min 6. Elevated target = 3 pts, ground past cones = 1 pt, top edge/caught = -2. Loser faces faster spin</t>
  </si>
  <si>
    <t>Tee, tennis balls, elevated targets</t>
  </si>
  <si>
    <t>Short Ball / Wrists</t>
  </si>
  <si>
    <t>Tennis ball short-and-wide underarm. Open face, guide over slip/point. No pace — wrist angle and timing</t>
  </si>
  <si>
    <t>Side-arm short-and-wide at pace; bowling machine with bounce; elevated target above off-side net; live fast bowling; mix with bouncers at body</t>
  </si>
  <si>
    <t>12 short balls — 3 pts elevated target, 2 pts along ground, -2 caught behind. Combine with Chin Music for 'short ball championship'</t>
  </si>
  <si>
    <t>Tennis balls, elevated target</t>
  </si>
  <si>
    <t>Short Ball Defence</t>
  </si>
  <si>
    <t>Tennis ball short-pitch underarm from close range. Back-and-across trigger, sway, duck, pull. No pace, groove positions</t>
  </si>
  <si>
    <t>Side-arm bouncers; machine on short length increasing pace; add hook and upper-cut option; live bowling short-pitch plan — score off 50%</t>
  </si>
  <si>
    <t>12 short balls — duck/sway correct = 1 pt, clean pull/hook = 3 pts, hit = -2, top edge = -1. Bonus 3 pts upper-cut hitting target</t>
  </si>
  <si>
    <t>Tennis balls, bowling machine</t>
  </si>
  <si>
    <t>Touch / Control</t>
  </si>
  <si>
    <t>Large circle (2m), tennis ball underarms, dead-bat ball inside circle. No catching pressure</t>
  </si>
  <si>
    <t>Shrink to 1.5m then 1m; increase to side-arm; add fielders for one-hand-one-bounce catches inside circle; add spin</t>
  </si>
  <si>
    <t>1 pt per ball inside circle. Caught one-hand-one-bounce = batter loses 2 (fielder gains 2). 12 balls, lowest bats with smaller circle</t>
  </si>
  <si>
    <t>Tape/cones for circle, tennis balls</t>
  </si>
  <si>
    <t>Resilience / Scramble</t>
  </si>
  <si>
    <t>Deliberately use toe or edge off underarm feeds — body position and wrist adjustment to place ball safe. No pace</t>
  </si>
  <si>
    <t>Side-arm at pace; intentionally hard to middle deliveries (wide yorkers, back-of-a-length); add keeper in lane; live bowling to induce edges</t>
  </si>
  <si>
    <t>12 hard-to-middle balls. 2 pts run scored, 3 pts boundary, -1 catch. Best scramblers win. Head-to-head</t>
  </si>
  <si>
    <t>Balls, keeper gear (optional)</t>
  </si>
  <si>
    <t>Stump Protection</t>
  </si>
  <si>
    <t>3 stumps behind batter, underarm feeds — protect stumps and make contact with every ball</t>
  </si>
  <si>
    <t>Add 6 then 9 stumps; progress to side-arm and live bowling; remove stumps — batter must hit every ball to protect back wall</t>
  </si>
  <si>
    <t>Each stump knocked = -2 pts. Clean contact = +1. Survive full over all stumps standing = bonus 5. Most pts after 3 overs wins</t>
  </si>
  <si>
    <t>Extra stumps (up to 9), balls</t>
  </si>
  <si>
    <t>Deception / Game Sense</t>
  </si>
  <si>
    <t>Small group (3-4 batters), coach assigns 'imposter' target score privately. Underarm feeds, low pressure</t>
  </si>
  <si>
    <t>Increase group size; add live bowling; harder target to hide; adjacent lanes so group watches each other</t>
  </si>
  <si>
    <t>Group votes on imposter after each round. Imposter gets 5 pts if undetected. If caught = consequence. Non-imposters lose pts hitting imposter's target</t>
  </si>
  <si>
    <t>Balls, scorecard</t>
  </si>
  <si>
    <t>Dice Roll</t>
  </si>
  <si>
    <t>Decision Making</t>
  </si>
  <si>
    <t>Roll dice before each ball — number determines shot type (1=defend, 2=drive, 3=pull, 4=cut, 5=sweep, 6=free hit). Underarm feeds</t>
  </si>
  <si>
    <t>Add side-arm/live bowling; reduce thinking time; add second dice for direction (odd=off, even=leg)</t>
  </si>
  <si>
    <t>2 pts correct shot clean, 1 pt contact, 0 wrong shot. Roll 6 = double points. Highest after 12 balls wins</t>
  </si>
  <si>
    <t>Dice, balls</t>
  </si>
  <si>
    <t>Red Ball White Ball</t>
  </si>
  <si>
    <t>Colour Recognition</t>
  </si>
  <si>
    <t>Two colour balls underarm in predictable pattern. Batter identifies colour early (red=defend, white=attack)</t>
  </si>
  <si>
    <t>Random colour order; side-arm/machine; reduce reaction time; add 3rd colour (yellow=leave). Progress to live bowling</t>
  </si>
  <si>
    <t>1 pt correct response, -1 wrong. Bonus 2 pts boundary off attack ball. 12-ball sets, lowest does consequence</t>
  </si>
  <si>
    <t>Red and white balls (+ yellow)</t>
  </si>
  <si>
    <t>Blind Batting</t>
  </si>
  <si>
    <t>Trust / Instinct</t>
  </si>
  <si>
    <t>Light tape across top of grille (partial vision), underarm feeds at medium pace. Trust hands and instinct</t>
  </si>
  <si>
    <t>Increase tape coverage; progress to side-arm and machine; vary line/length; near-full obstruction with live bowling</t>
  </si>
  <si>
    <t>Score clean contacts out of 12. 1 pt per hit, bonus 2 pts boundary. Compare across vision levels. Head-to-head</t>
  </si>
  <si>
    <t>Tape for helmet grille, balls</t>
  </si>
  <si>
    <t>Focus Under Pressure</t>
  </si>
  <si>
    <t>Single distraction type (coach calling numbers during delivery), underarm feeds, focus on ball only</t>
  </si>
  <si>
    <t>Layer multiple — verbal, visual (waving), physical (obstacles). Progress to live bowling with crowd noise/music</t>
  </si>
  <si>
    <t>Must answer distraction question AND hit ball. 1 pt contact, 1 pt correct answer = 2 max per ball. 12 balls, highest wins</t>
  </si>
  <si>
    <t>Speaker/phone for noise, balls</t>
  </si>
  <si>
    <t>Reaction / Processing</t>
  </si>
  <si>
    <t>2 colour balls underarm, one at a time. Coach calls colour before delivery — only hit called colour</t>
  </si>
  <si>
    <t>3 then 4 colours simultaneously; coach calls mid-flight; reduce reaction time; add 'leave' colour for duck/sway</t>
  </si>
  <si>
    <t>1 pt correct colour, -1 wrong colour, -1 missing called colour. 20-ball sets. Bonus round: 2 colours called</t>
  </si>
  <si>
    <t>4 different colour balls</t>
  </si>
  <si>
    <t>Shot Selection / Patience</t>
  </si>
  <si>
    <t>Coach feeds 6 balls — 3 slot balls (half-volleys) and 3 dots (good length). Only attack slot balls, defend dots</t>
  </si>
  <si>
    <t>Side-arm/machine randomised lengths; reduce slot balls to 2 then 1 per over; add 'trap ball' setup</t>
  </si>
  <si>
    <t>Boundary off slot = 4 pts, defending good ball = 1 pt, attacking good ball = -2, missing slot = -3. Best of 3 overs</t>
  </si>
  <si>
    <t>Chase / Pressure</t>
  </si>
  <si>
    <t>Underarm feeds, told they need 12 off 6. No fielders, just practise shot selection for boundary vs rotation</t>
  </si>
  <si>
    <t>Side-arm/machine at death pace (140+); tape targets on nets; vary target each set (8 off 4, 15 off 6); add live bowling</t>
  </si>
  <si>
    <t>6 balls — must reach target. Beat = 5 pts, tie = 2 pts, fail = consequence. Tournament bracket, last standing wins</t>
  </si>
  <si>
    <t>Tape for targets, scoreboard</t>
  </si>
  <si>
    <t>Attacking Intent</t>
  </si>
  <si>
    <t>Underarm feeds, cone targets on off and leg-side nets. Lofted drives and pulls into zones — no tempo pressure</t>
  </si>
  <si>
    <t>Side-arm/machine; par score per over; add live bowling; must hit targets both sides each over. Open hitting space 360°</t>
  </si>
  <si>
    <t>6-ball overs, par 10+. Beat par = 3 pts, match = 1. Bonus 2 pts targets both sides same over. Lowest after 3 overs = consequence</t>
  </si>
  <si>
    <t>Cones for targets, balls</t>
  </si>
  <si>
    <t>Running / Communication</t>
  </si>
  <si>
    <t>Pairs in lane — soft underarms, focus on calling (yes/no/wait), backing up, turning between cones 16m apart. No dismissals</t>
  </si>
  <si>
    <t>Add feeder returning ball for run-out pressure; side-arm; add 2nd run option; tighten cone distance</t>
  </si>
  <si>
    <t>Pairs race — most runs in 12 balls. 1 pt per run, bonus 3 for successful 2. Run out = -5 pts. Pairs tournament</t>
  </si>
  <si>
    <t>Cones (16m apart), balls</t>
  </si>
  <si>
    <t>Pairs / Rotation</t>
  </si>
  <si>
    <t>Pairs off underarms, neither faces more than 3 consecutive. Focus on rotating strike and communication</t>
  </si>
  <si>
    <t>Live bowling; designate 'anchor' (max 1 target/over) and 'striker' (8+ pts/over); swap roles; rotate lanes</t>
  </si>
  <si>
    <t>4 overs together, combined target (e.g. 48). Both must score min 15 individually. Beat target = 5 pts. Losing pair = consequence</t>
  </si>
  <si>
    <t>Balls, cones for running</t>
  </si>
  <si>
    <t>Placement / Rotation</t>
  </si>
  <si>
    <t>Underarm spin in lane, cone targets in gaps (cover, mid-wicket, straight). Nurdle, punch, work off pads. No power</t>
  </si>
  <si>
    <t>Live spin with targets; rotate strike every 2 balls; 'release ball' rule per over; vary spin types</t>
  </si>
  <si>
    <t>12 balls — 1 pt single, 2 pts two, 4 pts boundary off release ball, -2 dot. Dot-ball % tracked, worst = consequence</t>
  </si>
  <si>
    <t>Cones for gaps, balls</t>
  </si>
  <si>
    <t>Fitness / Composure</t>
  </si>
  <si>
    <t>Light jog then 6 underarm feeds. Maintain technique with slightly elevated heart rate</t>
  </si>
  <si>
    <t>Increase intensity before each set (shuttles, burpees, battle ropes); reduce rest; add scoreboard pressure</t>
  </si>
  <si>
    <t>3 sets of 6 balls preceded by fitness effort (jog → shuttles → max sprint). Total runs minus 5 per dot. Tests technique under fatigue</t>
  </si>
  <si>
    <t>Shuttle markers, battle ropes (optional)</t>
  </si>
  <si>
    <t>Pre-Meditation / Commitment</t>
  </si>
  <si>
    <t>Batters 'bid' on shot before each ball (e.g. 'cover drive'). Low stakes, learning to commit to decisions</t>
  </si>
  <si>
    <t>Side-arm/live; increase bid specificity; add veto — coach assigns harder shot; must execute regardless</t>
  </si>
  <si>
    <t>Each batter 'buys' 6 shots in auction. Only score for purchased shots. Unplanned = 0. Clean execution = 3 pts. Team drafts portfolios</t>
  </si>
  <si>
    <t>Auction cards/whiteboard, balls</t>
  </si>
  <si>
    <t>Versatility / Growth</t>
  </si>
  <si>
    <t>Coach identifies natural style. Batter plays complete opposite — power hitters accumulate, front-foot plays back. Underarms, low pace</t>
  </si>
  <si>
    <t>Side-arm/machine for full 12-ball set; live bowling; coach calls 'switch' mid-over; combine mindset + technique reversal</t>
  </si>
  <si>
    <t>12 balls scored by compliance — 2 pts matching opposite, 1 partial, 0 revert, -1 comfort-zone shot. Bonus 5 for full over without reverting</t>
  </si>
  <si>
    <t>Balls</t>
  </si>
  <si>
    <t>WARM-UP — Daily Vitamins</t>
  </si>
  <si>
    <t>—</t>
  </si>
  <si>
    <t>Warm-up Routine</t>
  </si>
  <si>
    <t>Standard warm-up performed at the start of every session. Includes: Rapid Fire (bat speed, hand-eye, reaction time, shapes/balance, cognitive plasticity), Knee sweeping both sides, Underarm drives/cuts/pulls (plus weighted balls).</t>
  </si>
  <si>
    <t>Increase tempo and intensity of each component. Add movement patterns, weighted balls throughout, directional targets.</t>
  </si>
  <si>
    <t>Time-based challenges on each component. Personal bests tracked session to session.</t>
  </si>
  <si>
    <t>Tennis balls, weighted balls, tee</t>
  </si>
  <si>
    <t>BATTING RULES</t>
  </si>
  <si>
    <t>Max 3 balls at a time per batter</t>
  </si>
  <si>
    <t>Running 3's between sets</t>
  </si>
  <si>
    <t>MONTH 1 COACHING RATIONALE — WHY THESE DRILLS, IN THIS ORDER</t>
  </si>
  <si>
    <t>The Progression Logic</t>
  </si>
  <si>
    <t>Month 1 follows a deliberate 4-week progression: ASSESS → ACQUIRE → PROGRESS → EXPAND. Week 1 establishes baselines — where is every player right now? Weeks 2-3 build technical foundations using closed drills (Regression) then challenge them with added complexity (Progression). Week 4 opens it up to game-like decision-making scenarios. Every drill choice is intentional: we move from isolated technique → combined technique → open skills under pressure. This ensures players aren't just collecting drills — they're building a layered skill set where each week's work underpins the next.</t>
  </si>
  <si>
    <t>WEEK 1 — Assessment Week: WHY</t>
  </si>
  <si>
    <t>Session 1 is pure assessment — Batting Baseline Test gives us measurable data on each player's technique, shot range, and decision-making before any coaching intervention. Jarryd maps each batter's skill profile so specialist work is targeted, not generic. Session 2 introduces open skill drills (9 Pin Bowling, Dice Roll, Red Ball White Ball) at REGRESSION level — these are fun, low-pressure games that simultaneously assess how players process information, make decisions under simple constraints, and handle novelty. We're watching as much as coaching. Bowl Strong runs bowling baselines in parallel. By end of Week 1 we know exactly where every player sits across batting, bowling, and mental performance.</t>
  </si>
  <si>
    <t>WEEK 2 — Skill Acquisition (Regression): WHY</t>
  </si>
  <si>
    <t>Now we know the baselines, Week 2 starts building. All batting drills are at REGRESSION — underarm feeds, no time pressure, isolated skills. The drill sequence is deliberate:
• 360 Drill → teaches zone awareness and bat placement (WHERE to hit)
• Opposite Hand → develops non-dominant coordination, forces the brain to problem-solve movement patterns it hasn't automated
• Attacking Footwork → builds the engine that drives every shot (HOW to move)
• Hitting 3 Ways → introduces shot selection discipline (WHEN to hit what)
• Rapid Fire → hand-eye calibration under increasing tempo
• Closed vs Open Gate → front foot awareness for spin play
We start with WHERE, then HOW, then WHEN — this mirrors how the brain acquires motor skills. S&amp;C with Jason Cox runs in parallel (Strength &amp; Mobility → Athletic Dev → Speed &amp; Agility → Power Training), building the physical base that supports the technical work. Hour 2 is Jarryd Rodgers' Power Hitting program (TBC — awaiting his session plans).</t>
  </si>
  <si>
    <t>WEEK 3 — Skill Acquisition (Progression): WHY</t>
  </si>
  <si>
    <t>Week 3 takes the same movement principles from Week 2 but PROGRESSES them — side-arm feeds, added resistance, more complex environments. The drill selection deliberately builds on Week 2's foundations:
• Hurdle Hop to Spin → forces explosive forward movement into the ball (builds on Attacking Footwork from Wk 2, now against spin with physical obstacles)
• Back Foot Heel Release → addresses weight transfer on the back foot (complements the front-foot work from Wk 2's Closed vs Open Gate)
• Pivot Power Station → hip rotation and power generation through the front foot (the power version of Wk 2's footwork drills)
• Heel-Toe Runway → precision weight transfer against spin (builds on 360 Drill's zone awareness, now with feet-first focus)
• Ladder Feet to Live Ball → transition speed from movement to shot (progresses Rapid Fire's hand-eye into full-body coordination)
• Dane Rampi → placement discipline under progression feeds (builds on Hitting 3 Ways' shot selection, now with directional constraint)
The shift from (R) to (P) is critical — players have had one week to groove the movement patterns in a safe environment. Now we add challenge. Hour 2 is Jarryd's Power Hitting program (TBC).</t>
  </si>
  <si>
    <t>WEEK 4 — Skill Expansion: WHY</t>
  </si>
  <si>
    <t>Week 4 shifts from closed technical drills to OPEN decision-making scenarios. The players now have 2 weeks of technical foundations — Week 4 tests whether they can deploy those skills under game-like pressure:
• Imposters → deception and game awareness — can they execute AND read other players' intent? Tests the mental side of batting
• Death Over Auction → chase scenarios with scoreboard pressure — applies Hitting 3 Ways' shot selection under a target (WHEN matters most)
• Powerplay Blitz → attacking intent with 360° targets — uses 360 Drill's zone awareness in a game-tempo setting
• Distractions → maintaining technique under cognitive load — tests whether Wk 2-3's motor patterns are automated enough to survive interference
• Partnership Powerplay → pairs rotation and communication — the first drill requiring team decision-making, not just individual technique
• IPL Auction → pre-meditated shot commitment — the ultimate test of shot selection discipline built across the month
Every Wk 4 drill maps directly back to a Wk 2/3 technical drill — the skill is the same, the environment is now chaotic. Hour 2 is Jarryd's Power Hitting program (TBC).</t>
  </si>
  <si>
    <t>MENTAL PERFORMANCE PROGRESSION: WHY THIS ORDER</t>
  </si>
  <si>
    <t>The mental module follows a deliberate 8-session arc: Performance Profiling → Goal Setting → Focus &amp; Concentration → Pressure Training → Visualisation → Self-Talk → Pre-Performance Routines → Game Scenario Debrief. This mirrors sport psychology best practice — you can't set goals without knowing your profile, you can't handle pressure without focus skills, you can't build routines without visualisation and self-talk tools. By Session 8 (Game Scenario Debrief), players have a complete mental toolkit they've built piece by piece across the month. Each 10-minute session is short by design — mental skills are best acquired in frequent small doses alongside physical training, not in long isolated blocks.</t>
  </si>
  <si>
    <t>Power Hitting
(Jarryd Rodgers — TBC)</t>
  </si>
  <si>
    <t>id</t>
  </si>
  <si>
    <t>created_at</t>
  </si>
  <si>
    <t>parent_name</t>
  </si>
  <si>
    <t>parent_email</t>
  </si>
  <si>
    <t>parent_phone</t>
  </si>
  <si>
    <t>player_name</t>
  </si>
  <si>
    <t>player_age</t>
  </si>
  <si>
    <t>player_gender</t>
  </si>
  <si>
    <t>primary_club</t>
  </si>
  <si>
    <t>suburb</t>
  </si>
  <si>
    <t>location</t>
  </si>
  <si>
    <t>on_waitlist</t>
  </si>
  <si>
    <t>utm_source</t>
  </si>
  <si>
    <t>utm_medium</t>
  </si>
  <si>
    <t>utm_campaign</t>
  </si>
  <si>
    <t>page_referrer</t>
  </si>
  <si>
    <t>shirt_size</t>
  </si>
  <si>
    <t>accept_terms</t>
  </si>
  <si>
    <t>accept_player_code</t>
  </si>
  <si>
    <t>accept_parent_code</t>
  </si>
  <si>
    <t>accept_social_media</t>
  </si>
  <si>
    <t>male</t>
  </si>
  <si>
    <t>Eltham</t>
  </si>
  <si>
    <t>cutting-edge</t>
  </si>
  <si>
    <t>hallam</t>
  </si>
  <si>
    <t>female</t>
  </si>
  <si>
    <t>Clyde North</t>
  </si>
  <si>
    <t>fb</t>
  </si>
  <si>
    <t>paid</t>
  </si>
  <si>
    <t>http://m.facebook.com/</t>
  </si>
  <si>
    <t>ig</t>
  </si>
  <si>
    <t>https://instagram.com/</t>
  </si>
  <si>
    <t>Craigieburn cricket club</t>
  </si>
  <si>
    <t>Craigieburn</t>
  </si>
  <si>
    <t>76eda5c6-3706-4558-93eb-155af7ede848</t>
  </si>
  <si>
    <t>2026-03-21 10:47:36.78794+00</t>
  </si>
  <si>
    <t>Prince Jacob Abraham</t>
  </si>
  <si>
    <t>prince81prince@gmail.com</t>
  </si>
  <si>
    <t>+61 411070043</t>
  </si>
  <si>
    <t>Alphin X Abraham</t>
  </si>
  <si>
    <t>Kerala Strikers</t>
  </si>
  <si>
    <t>d03773d4-a972-4831-98a8-fa1032c2dde8</t>
  </si>
  <si>
    <t>2026-03-21 11:07:29.699569+00</t>
  </si>
  <si>
    <t>The</t>
  </si>
  <si>
    <t>yhe@gmail.com</t>
  </si>
  <si>
    <t>Mit</t>
  </si>
  <si>
    <t>Sec</t>
  </si>
  <si>
    <t>Oakleigh</t>
  </si>
  <si>
    <t>24a4781f-ce5b-4738-b835-6c9950c85efc</t>
  </si>
  <si>
    <t>2026-03-21 11:33:37.848064+00</t>
  </si>
  <si>
    <t>Hardeep saini</t>
  </si>
  <si>
    <t>ozharry@hotmail.com</t>
  </si>
  <si>
    <t>Brinda Saini</t>
  </si>
  <si>
    <t>8f19621d-635e-41e5-a124-681d42496889</t>
  </si>
  <si>
    <t>2026-03-21 12:15:54.505709+00</t>
  </si>
  <si>
    <t>Henrik</t>
  </si>
  <si>
    <t>heno2@hotmail.com</t>
  </si>
  <si>
    <t>Ari terchonian</t>
  </si>
  <si>
    <t>Research club</t>
  </si>
  <si>
    <t>http://instagram.com/</t>
  </si>
  <si>
    <t>YouTube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</si>
</sst>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2"/>
      <color theme="1"/>
      <name val="Aptos Narrow"/>
      <family val="2"/>
      <scheme val="minor"/>
    </font>
    <font>
      <sz val="12"/>
      <color theme="0"/>
      <name val="Aptos Narrow"/>
      <family val="2"/>
      <scheme val="minor"/>
    </font>
    <font>
      <b/>
      <sz val="11"/>
      <color rgb="FFFFFFFF"/>
      <name val="Arial"/>
      <family val="2"/>
    </font>
    <font>
      <b/>
      <sz val="10"/>
      <color rgb="FFFFFFFF"/>
      <name val="Arial"/>
      <family val="2"/>
    </font>
    <font>
      <sz val="9"/>
      <color rgb="FFFFFFFF"/>
      <name val="Aptos Narrow"/>
      <family val="2"/>
      <scheme val="minor"/>
    </font>
    <font>
      <b/>
      <sz val="9"/>
      <color rgb="FFFFFFFF"/>
      <name val="Arial"/>
      <family val="2"/>
    </font>
    <font>
      <sz val="10"/>
      <color theme="1"/>
      <name val="Arial"/>
      <family val="2"/>
    </font>
    <font>
      <b/>
      <sz val="9"/>
      <color theme="0"/>
      <name val="Arial"/>
      <family val="2"/>
    </font>
    <font>
      <b/>
      <sz val="10"/>
      <color theme="1"/>
      <name val="Arial"/>
      <family val="2"/>
    </font>
    <font>
      <sz val="8"/>
      <color rgb="FFFFFFFF"/>
      <name val="Arial"/>
      <family val="2"/>
    </font>
    <font>
      <sz val="9"/>
      <color theme="1"/>
      <name val="Arial"/>
      <family val="2"/>
    </font>
    <font>
      <sz val="8"/>
      <color theme="1"/>
      <name val="Arial"/>
      <family val="2"/>
    </font>
    <font>
      <b/>
      <sz val="12"/>
      <color rgb="FFFFFFFF"/>
      <name val="Aptos Narrow"/>
      <scheme val="minor"/>
    </font>
    <font>
      <sz val="12"/>
      <color rgb="FF000000"/>
      <name val="Aptos Narrow"/>
      <scheme val="minor"/>
    </font>
    <font>
      <sz val="10"/>
      <color rgb="FF000000"/>
      <name val="Tahoma"/>
      <family val="2"/>
    </font>
    <font>
      <b/>
      <sz val="10"/>
      <color rgb="FF000000"/>
      <name val="Tahoma"/>
      <family val="2"/>
    </font>
    <font>
      <b/>
      <sz val="12"/>
      <color theme="1"/>
      <name val="Aptos Narrow"/>
      <family val="2"/>
      <scheme val="minor"/>
    </font>
    <font>
      <u/>
      <sz val="12"/>
      <color theme="10"/>
      <name val="Aptos Narrow"/>
      <family val="2"/>
      <scheme val="minor"/>
    </font>
    <font>
      <b/>
      <sz val="16"/>
      <color rgb="FFFFFFFF"/>
      <name val="Aptos Narrow"/>
      <family val="2"/>
      <scheme val="minor"/>
    </font>
    <font>
      <b/>
      <sz val="11"/>
      <color theme="1"/>
      <name val="Aptos Narrow"/>
      <family val="2"/>
      <scheme val="minor"/>
    </font>
    <font>
      <b/>
      <sz val="11"/>
      <color rgb="FFFFFFFF"/>
      <name val="Aptos Narrow"/>
      <family val="2"/>
      <scheme val="minor"/>
    </font>
    <font>
      <b/>
      <sz val="12"/>
      <color rgb="FFFFFFFF"/>
      <name val="Aptos Narrow"/>
      <family val="2"/>
      <scheme val="minor"/>
    </font>
    <font>
      <sz val="10"/>
      <color theme="1"/>
      <name val="Aptos Narrow"/>
      <family val="2"/>
      <scheme val="minor"/>
    </font>
    <font>
      <i/>
      <sz val="10"/>
      <color rgb="FF808080"/>
      <name val="Aptos Narrow"/>
      <family val="2"/>
      <scheme val="minor"/>
    </font>
    <font>
      <b/>
      <sz val="10"/>
      <color rgb="FFFFFFFF"/>
      <name val="Aptos Narrow"/>
      <family val="2"/>
      <scheme val="minor"/>
    </font>
    <font>
      <sz val="9"/>
      <color rgb="FF404040"/>
      <name val="Aptos Narrow"/>
      <family val="2"/>
      <scheme val="minor"/>
    </font>
    <font>
      <b/>
      <sz val="9"/>
      <color rgb="FF404040"/>
      <name val="Aptos Narrow"/>
      <family val="2"/>
      <scheme val="minor"/>
    </font>
    <font>
      <i/>
      <sz val="9"/>
      <color theme="1"/>
      <name val="Aptos Narrow"/>
      <family val="2"/>
      <scheme val="minor"/>
    </font>
    <font>
      <b/>
      <sz val="10"/>
      <color theme="1"/>
      <name val="Aptos Narrow"/>
      <family val="2"/>
      <scheme val="minor"/>
    </font>
    <font>
      <b/>
      <sz val="14"/>
      <color rgb="FFFFFFFF"/>
      <name val="Aptos Narrow"/>
      <family val="2"/>
      <scheme val="minor"/>
    </font>
    <font>
      <sz val="10"/>
      <color rgb="FFC00000"/>
      <name val="Aptos Narrow"/>
      <family val="2"/>
      <scheme val="minor"/>
    </font>
    <font>
      <sz val="10"/>
      <color rgb="FF000000"/>
      <name val="Helvetica Neue"/>
      <family val="2"/>
    </font>
    <font>
      <b/>
      <sz val="10"/>
      <color rgb="FF000000"/>
      <name val="Helvetica Neue"/>
      <family val="2"/>
    </font>
  </fonts>
  <fills count="39">
    <fill>
      <patternFill patternType="none"/>
    </fill>
    <fill>
      <patternFill patternType="gray125"/>
    </fill>
    <fill>
      <patternFill patternType="solid">
        <fgColor rgb="FF2F2F2F"/>
        <bgColor indexed="64"/>
      </patternFill>
    </fill>
    <fill>
      <patternFill patternType="solid">
        <fgColor rgb="FF4472C4"/>
        <bgColor indexed="64"/>
      </patternFill>
    </fill>
    <fill>
      <patternFill patternType="solid">
        <fgColor rgb="FFF2F2F2"/>
        <bgColor indexed="64"/>
      </patternFill>
    </fill>
    <fill>
      <patternFill patternType="solid">
        <fgColor rgb="FFFFFFFF"/>
        <bgColor indexed="64"/>
      </patternFill>
    </fill>
    <fill>
      <patternFill patternType="solid">
        <fgColor rgb="FFFFFF00"/>
        <bgColor indexed="64"/>
      </patternFill>
    </fill>
    <fill>
      <patternFill patternType="solid">
        <fgColor theme="1"/>
        <bgColor indexed="64"/>
      </patternFill>
    </fill>
    <fill>
      <patternFill patternType="solid">
        <fgColor rgb="FF00B0F0"/>
        <bgColor indexed="64"/>
      </patternFill>
    </fill>
    <fill>
      <patternFill patternType="solid">
        <fgColor rgb="FFFFC000"/>
        <bgColor indexed="64"/>
      </patternFill>
    </fill>
    <fill>
      <patternFill patternType="solid">
        <fgColor theme="5"/>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4" tint="0.59999389629810485"/>
        <bgColor indexed="64"/>
      </patternFill>
    </fill>
    <fill>
      <patternFill patternType="solid">
        <fgColor rgb="FF000000"/>
        <bgColor indexed="64"/>
      </patternFill>
    </fill>
    <fill>
      <patternFill patternType="solid">
        <fgColor rgb="FFDAE9F8"/>
        <bgColor indexed="64"/>
      </patternFill>
    </fill>
    <fill>
      <patternFill patternType="solid">
        <fgColor rgb="FFC0E6F5"/>
        <bgColor indexed="64"/>
      </patternFill>
    </fill>
    <fill>
      <patternFill patternType="solid">
        <fgColor rgb="FFE97132"/>
        <bgColor indexed="64"/>
      </patternFill>
    </fill>
    <fill>
      <patternFill patternType="solid">
        <fgColor rgb="FFE49EDD"/>
        <bgColor indexed="64"/>
      </patternFill>
    </fill>
    <fill>
      <patternFill patternType="solid">
        <fgColor rgb="FFD86DCD"/>
        <bgColor indexed="64"/>
      </patternFill>
    </fill>
    <fill>
      <patternFill patternType="solid">
        <fgColor rgb="FFDAF2D0"/>
        <bgColor indexed="64"/>
      </patternFill>
    </fill>
    <fill>
      <patternFill patternType="solid">
        <fgColor theme="6" tint="0.39997558519241921"/>
        <bgColor indexed="64"/>
      </patternFill>
    </fill>
    <fill>
      <patternFill patternType="solid">
        <fgColor rgb="FF92D050"/>
        <bgColor indexed="64"/>
      </patternFill>
    </fill>
    <fill>
      <patternFill patternType="solid">
        <fgColor rgb="FFED7D31"/>
        <bgColor indexed="64"/>
      </patternFill>
    </fill>
    <fill>
      <patternFill patternType="solid">
        <fgColor rgb="FF1F3864"/>
        <bgColor indexed="64"/>
      </patternFill>
    </fill>
    <fill>
      <patternFill patternType="solid">
        <fgColor rgb="FF2E75B6"/>
        <bgColor indexed="64"/>
      </patternFill>
    </fill>
    <fill>
      <patternFill patternType="solid">
        <fgColor rgb="FFD6E4F0"/>
        <bgColor indexed="64"/>
      </patternFill>
    </fill>
    <fill>
      <patternFill patternType="solid">
        <fgColor rgb="FF385723"/>
        <bgColor indexed="64"/>
      </patternFill>
    </fill>
    <fill>
      <patternFill patternType="solid">
        <fgColor rgb="FF7030A0"/>
        <bgColor indexed="64"/>
      </patternFill>
    </fill>
    <fill>
      <patternFill patternType="solid">
        <fgColor rgb="FFE2EFDA"/>
        <bgColor indexed="64"/>
      </patternFill>
    </fill>
    <fill>
      <patternFill patternType="solid">
        <fgColor rgb="FFFFF2CC"/>
        <bgColor indexed="64"/>
      </patternFill>
    </fill>
    <fill>
      <patternFill patternType="solid">
        <fgColor rgb="FFC00000"/>
        <bgColor indexed="64"/>
      </patternFill>
    </fill>
    <fill>
      <patternFill patternType="solid">
        <fgColor rgb="FFFCE4D6"/>
        <bgColor indexed="64"/>
      </patternFill>
    </fill>
    <fill>
      <patternFill patternType="solid">
        <fgColor rgb="FFDDEBF7"/>
        <bgColor indexed="64"/>
      </patternFill>
    </fill>
    <fill>
      <patternFill patternType="solid">
        <fgColor rgb="FFFAFAFA"/>
        <bgColor indexed="64"/>
      </patternFill>
    </fill>
    <fill>
      <patternFill patternType="solid">
        <fgColor rgb="FFE2D0F0"/>
        <bgColor indexed="64"/>
      </patternFill>
    </fill>
  </fills>
  <borders count="31">
    <border>
      <left/>
      <right/>
      <top/>
      <bottom/>
      <diagonal/>
    </border>
    <border>
      <left style="medium">
        <color rgb="FF2F2F2F"/>
      </left>
      <right/>
      <top/>
      <bottom/>
      <diagonal/>
    </border>
    <border>
      <left/>
      <right/>
      <top style="medium">
        <color rgb="FF2F2F2F"/>
      </top>
      <bottom/>
      <diagonal/>
    </border>
    <border>
      <left/>
      <right/>
      <top style="thin">
        <color rgb="FFD9D9D9"/>
      </top>
      <bottom style="thin">
        <color rgb="FFD9D9D9"/>
      </bottom>
      <diagonal/>
    </border>
    <border>
      <left/>
      <right style="medium">
        <color rgb="FF2F2F2F"/>
      </right>
      <top style="thin">
        <color rgb="FFD9D9D9"/>
      </top>
      <bottom style="thin">
        <color rgb="FFD9D9D9"/>
      </bottom>
      <diagonal/>
    </border>
    <border>
      <left style="medium">
        <color rgb="FF2F2F2F"/>
      </left>
      <right/>
      <top style="medium">
        <color rgb="FF2F2F2F"/>
      </top>
      <bottom/>
      <diagonal/>
    </border>
    <border>
      <left style="medium">
        <color rgb="FF2F2F2F"/>
      </left>
      <right/>
      <top style="thin">
        <color rgb="FFD9D9D9"/>
      </top>
      <bottom style="thin">
        <color rgb="FFD9D9D9"/>
      </bottom>
      <diagonal/>
    </border>
    <border>
      <left style="thin">
        <color rgb="FFD9D9D9"/>
      </left>
      <right/>
      <top style="medium">
        <color rgb="FF2F2F2F"/>
      </top>
      <bottom/>
      <diagonal/>
    </border>
    <border>
      <left style="thin">
        <color rgb="FFD9D9D9"/>
      </left>
      <right/>
      <top style="thin">
        <color rgb="FFD9D9D9"/>
      </top>
      <bottom style="thin">
        <color rgb="FFD9D9D9"/>
      </bottom>
      <diagonal/>
    </border>
    <border>
      <left/>
      <right/>
      <top style="thin">
        <color rgb="FFD9D9D9"/>
      </top>
      <bottom/>
      <diagonal/>
    </border>
    <border>
      <left style="medium">
        <color rgb="FF2F2F2F"/>
      </left>
      <right/>
      <top style="thin">
        <color rgb="FFD9D9D9"/>
      </top>
      <bottom/>
      <diagonal/>
    </border>
    <border>
      <left style="thin">
        <color rgb="FFD9D9D9"/>
      </left>
      <right/>
      <top style="thin">
        <color rgb="FFD9D9D9"/>
      </top>
      <bottom/>
      <diagonal/>
    </border>
    <border>
      <left style="medium">
        <color rgb="FF2F2F2F"/>
      </left>
      <right/>
      <top style="thin">
        <color rgb="FFD9D9D9"/>
      </top>
      <bottom style="medium">
        <color rgb="FF2F2F2F"/>
      </bottom>
      <diagonal/>
    </border>
    <border>
      <left style="thin">
        <color rgb="FFD9D9D9"/>
      </left>
      <right/>
      <top style="thin">
        <color rgb="FFD9D9D9"/>
      </top>
      <bottom style="medium">
        <color rgb="FF2F2F2F"/>
      </bottom>
      <diagonal/>
    </border>
    <border>
      <left style="thin">
        <color rgb="FFD9D9D9"/>
      </left>
      <right/>
      <top/>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auto="1"/>
      </top>
      <bottom style="thin">
        <color auto="1"/>
      </bottom>
      <diagonal/>
    </border>
    <border>
      <left style="thin">
        <color auto="1"/>
      </left>
      <right style="thin">
        <color auto="1"/>
      </right>
      <top style="thin">
        <color auto="1"/>
      </top>
      <bottom/>
      <diagonal/>
    </border>
    <border>
      <left style="thick">
        <color rgb="FF1F3864"/>
      </left>
      <right style="thin">
        <color indexed="64"/>
      </right>
      <top style="thin">
        <color indexed="64"/>
      </top>
      <bottom style="thin">
        <color indexed="64"/>
      </bottom>
      <diagonal/>
    </border>
  </borders>
  <cellStyleXfs count="2">
    <xf numFmtId="0" fontId="0" fillId="0" borderId="0"/>
    <xf numFmtId="0" fontId="17" fillId="0" borderId="0" applyNumberFormat="0" applyFill="0" applyBorder="0" applyAlignment="0" applyProtection="0"/>
  </cellStyleXfs>
  <cellXfs count="229">
    <xf numFmtId="0" fontId="0" fillId="0" borderId="0" xfId="0"/>
    <xf numFmtId="0" fontId="3" fillId="3" borderId="0" xfId="0" applyFont="1" applyFill="1" applyAlignment="1">
      <alignment horizontal="center"/>
    </xf>
    <xf numFmtId="0" fontId="6" fillId="4" borderId="2" xfId="0" applyFont="1" applyFill="1" applyBorder="1" applyAlignment="1">
      <alignment horizontal="left"/>
    </xf>
    <xf numFmtId="0" fontId="0" fillId="4" borderId="5" xfId="0" applyFill="1" applyBorder="1"/>
    <xf numFmtId="0" fontId="0" fillId="4" borderId="7" xfId="0" applyFill="1" applyBorder="1"/>
    <xf numFmtId="0" fontId="6" fillId="5" borderId="9" xfId="0" applyFont="1" applyFill="1" applyBorder="1" applyAlignment="1">
      <alignment horizontal="left"/>
    </xf>
    <xf numFmtId="0" fontId="0" fillId="5" borderId="10" xfId="0" applyFill="1" applyBorder="1"/>
    <xf numFmtId="0" fontId="0" fillId="5" borderId="11" xfId="0" applyFill="1" applyBorder="1"/>
    <xf numFmtId="0" fontId="6" fillId="4" borderId="9" xfId="0" applyFont="1" applyFill="1" applyBorder="1" applyAlignment="1">
      <alignment horizontal="left"/>
    </xf>
    <xf numFmtId="0" fontId="0" fillId="4" borderId="10" xfId="0" applyFill="1" applyBorder="1"/>
    <xf numFmtId="0" fontId="0" fillId="4" borderId="11" xfId="0" applyFill="1" applyBorder="1"/>
    <xf numFmtId="0" fontId="0" fillId="5" borderId="12" xfId="0" applyFill="1" applyBorder="1"/>
    <xf numFmtId="0" fontId="0" fillId="5" borderId="13" xfId="0" applyFill="1" applyBorder="1"/>
    <xf numFmtId="0" fontId="0" fillId="6" borderId="11" xfId="0" applyFill="1" applyBorder="1"/>
    <xf numFmtId="0" fontId="0" fillId="8" borderId="5" xfId="0" applyFill="1" applyBorder="1"/>
    <xf numFmtId="0" fontId="0" fillId="8" borderId="10" xfId="0" applyFill="1" applyBorder="1"/>
    <xf numFmtId="0" fontId="0" fillId="8" borderId="12" xfId="0" applyFill="1" applyBorder="1"/>
    <xf numFmtId="0" fontId="0" fillId="8" borderId="0" xfId="0" applyFill="1"/>
    <xf numFmtId="0" fontId="0" fillId="9" borderId="11" xfId="0" applyFill="1" applyBorder="1"/>
    <xf numFmtId="0" fontId="0" fillId="0" borderId="11" xfId="0" applyBorder="1"/>
    <xf numFmtId="0" fontId="6" fillId="10" borderId="0" xfId="0" applyFont="1" applyFill="1" applyAlignment="1">
      <alignment horizontal="right"/>
    </xf>
    <xf numFmtId="0" fontId="0" fillId="10" borderId="10" xfId="0" applyFill="1" applyBorder="1"/>
    <xf numFmtId="0" fontId="6" fillId="9" borderId="9" xfId="0" applyFont="1" applyFill="1" applyBorder="1" applyAlignment="1">
      <alignment horizontal="left"/>
    </xf>
    <xf numFmtId="0" fontId="6" fillId="11" borderId="9" xfId="0" applyFont="1" applyFill="1" applyBorder="1" applyAlignment="1">
      <alignment horizontal="left"/>
    </xf>
    <xf numFmtId="0" fontId="0" fillId="11" borderId="11" xfId="0" applyFill="1" applyBorder="1"/>
    <xf numFmtId="0" fontId="0" fillId="11" borderId="10" xfId="0" applyFill="1" applyBorder="1"/>
    <xf numFmtId="0" fontId="6" fillId="12" borderId="9" xfId="0" applyFont="1" applyFill="1" applyBorder="1" applyAlignment="1">
      <alignment horizontal="left"/>
    </xf>
    <xf numFmtId="0" fontId="0" fillId="12" borderId="11" xfId="0" applyFill="1" applyBorder="1"/>
    <xf numFmtId="0" fontId="6" fillId="6" borderId="9" xfId="0" applyFont="1" applyFill="1" applyBorder="1" applyAlignment="1">
      <alignment horizontal="right"/>
    </xf>
    <xf numFmtId="0" fontId="6" fillId="13" borderId="9" xfId="0" applyFont="1" applyFill="1" applyBorder="1" applyAlignment="1">
      <alignment horizontal="left"/>
    </xf>
    <xf numFmtId="0" fontId="0" fillId="13" borderId="10" xfId="0" applyFill="1" applyBorder="1"/>
    <xf numFmtId="0" fontId="6" fillId="14" borderId="0" xfId="0" applyFont="1" applyFill="1" applyAlignment="1">
      <alignment horizontal="left"/>
    </xf>
    <xf numFmtId="0" fontId="0" fillId="14" borderId="9" xfId="0" applyFill="1" applyBorder="1"/>
    <xf numFmtId="0" fontId="0" fillId="14" borderId="11" xfId="0" applyFill="1" applyBorder="1"/>
    <xf numFmtId="0" fontId="0" fillId="0" borderId="9" xfId="0" applyBorder="1"/>
    <xf numFmtId="0" fontId="6" fillId="15" borderId="0" xfId="0" applyFont="1" applyFill="1" applyAlignment="1">
      <alignment horizontal="left"/>
    </xf>
    <xf numFmtId="0" fontId="0" fillId="15" borderId="9" xfId="0" applyFill="1" applyBorder="1"/>
    <xf numFmtId="0" fontId="5" fillId="8" borderId="1" xfId="0" applyFont="1" applyFill="1" applyBorder="1" applyAlignment="1">
      <alignment horizontal="center" vertical="center" wrapText="1"/>
    </xf>
    <xf numFmtId="0" fontId="5" fillId="3" borderId="0" xfId="0" applyFont="1" applyFill="1" applyAlignment="1">
      <alignment horizontal="center" vertical="center" wrapText="1"/>
    </xf>
    <xf numFmtId="0" fontId="0" fillId="16" borderId="0" xfId="0" applyFill="1"/>
    <xf numFmtId="0" fontId="0" fillId="5" borderId="14" xfId="0" applyFill="1" applyBorder="1"/>
    <xf numFmtId="0" fontId="0" fillId="5" borderId="0" xfId="0" applyFill="1"/>
    <xf numFmtId="0" fontId="7" fillId="7" borderId="0" xfId="0" applyFont="1" applyFill="1" applyAlignment="1">
      <alignment horizontal="center"/>
    </xf>
    <xf numFmtId="0" fontId="1" fillId="7" borderId="0" xfId="0" applyFont="1" applyFill="1"/>
    <xf numFmtId="0" fontId="6" fillId="24" borderId="0" xfId="0" applyFont="1" applyFill="1" applyAlignment="1">
      <alignment horizontal="left"/>
    </xf>
    <xf numFmtId="0" fontId="0" fillId="24" borderId="10" xfId="0" applyFill="1" applyBorder="1"/>
    <xf numFmtId="0" fontId="0" fillId="24" borderId="11" xfId="0" applyFill="1" applyBorder="1"/>
    <xf numFmtId="0" fontId="0" fillId="0" borderId="17" xfId="0" applyBorder="1"/>
    <xf numFmtId="0" fontId="0" fillId="0" borderId="15" xfId="0" applyBorder="1"/>
    <xf numFmtId="0" fontId="0" fillId="2" borderId="16" xfId="0" applyFill="1" applyBorder="1"/>
    <xf numFmtId="0" fontId="0" fillId="17" borderId="16" xfId="0" applyFill="1" applyBorder="1"/>
    <xf numFmtId="0" fontId="0" fillId="3" borderId="16" xfId="0" applyFill="1" applyBorder="1"/>
    <xf numFmtId="0" fontId="5" fillId="3" borderId="16" xfId="0" applyFont="1" applyFill="1" applyBorder="1" applyAlignment="1">
      <alignment horizontal="center"/>
    </xf>
    <xf numFmtId="0" fontId="9" fillId="3" borderId="16" xfId="0" applyFont="1" applyFill="1" applyBorder="1" applyAlignment="1">
      <alignment horizontal="center"/>
    </xf>
    <xf numFmtId="0" fontId="5" fillId="17" borderId="16" xfId="0" applyFont="1" applyFill="1" applyBorder="1" applyAlignment="1">
      <alignment horizontal="center"/>
    </xf>
    <xf numFmtId="0" fontId="8" fillId="4" borderId="16" xfId="0" applyFont="1" applyFill="1" applyBorder="1" applyAlignment="1">
      <alignment horizontal="left"/>
    </xf>
    <xf numFmtId="0" fontId="10" fillId="4" borderId="16" xfId="0" applyFont="1" applyFill="1" applyBorder="1" applyAlignment="1">
      <alignment horizontal="center"/>
    </xf>
    <xf numFmtId="0" fontId="4" fillId="17" borderId="16" xfId="0" applyFont="1" applyFill="1" applyBorder="1"/>
    <xf numFmtId="0" fontId="6" fillId="5" borderId="16" xfId="0" applyFont="1" applyFill="1" applyBorder="1" applyAlignment="1">
      <alignment horizontal="left"/>
    </xf>
    <xf numFmtId="0" fontId="6" fillId="4" borderId="16" xfId="0" applyFont="1" applyFill="1" applyBorder="1" applyAlignment="1">
      <alignment horizontal="left"/>
    </xf>
    <xf numFmtId="0" fontId="6" fillId="18" borderId="16" xfId="0" applyFont="1" applyFill="1" applyBorder="1" applyAlignment="1">
      <alignment horizontal="left"/>
    </xf>
    <xf numFmtId="0" fontId="10" fillId="18" borderId="16" xfId="0" applyFont="1" applyFill="1" applyBorder="1" applyAlignment="1">
      <alignment horizontal="center"/>
    </xf>
    <xf numFmtId="0" fontId="6" fillId="19" borderId="16" xfId="0" applyFont="1" applyFill="1" applyBorder="1" applyAlignment="1">
      <alignment horizontal="left"/>
    </xf>
    <xf numFmtId="0" fontId="10" fillId="19" borderId="16" xfId="0" applyFont="1" applyFill="1" applyBorder="1" applyAlignment="1">
      <alignment horizontal="center"/>
    </xf>
    <xf numFmtId="0" fontId="6" fillId="6" borderId="16" xfId="0" applyFont="1" applyFill="1" applyBorder="1" applyAlignment="1">
      <alignment horizontal="right"/>
    </xf>
    <xf numFmtId="0" fontId="10" fillId="0" borderId="16" xfId="0" applyFont="1" applyBorder="1" applyAlignment="1">
      <alignment horizontal="center"/>
    </xf>
    <xf numFmtId="0" fontId="10" fillId="0" borderId="16" xfId="0" applyFont="1" applyBorder="1"/>
    <xf numFmtId="0" fontId="6" fillId="20" borderId="16" xfId="0" applyFont="1" applyFill="1" applyBorder="1" applyAlignment="1">
      <alignment horizontal="right"/>
    </xf>
    <xf numFmtId="0" fontId="10" fillId="20" borderId="16" xfId="0" applyFont="1" applyFill="1" applyBorder="1" applyAlignment="1">
      <alignment horizontal="center"/>
    </xf>
    <xf numFmtId="0" fontId="6" fillId="21" borderId="16" xfId="0" applyFont="1" applyFill="1" applyBorder="1" applyAlignment="1">
      <alignment horizontal="left"/>
    </xf>
    <xf numFmtId="0" fontId="6" fillId="9" borderId="16" xfId="0" applyFont="1" applyFill="1" applyBorder="1" applyAlignment="1">
      <alignment horizontal="left"/>
    </xf>
    <xf numFmtId="0" fontId="6" fillId="22" borderId="16" xfId="0" applyFont="1" applyFill="1" applyBorder="1" applyAlignment="1">
      <alignment horizontal="left"/>
    </xf>
    <xf numFmtId="0" fontId="6" fillId="23" borderId="16" xfId="0" applyFont="1" applyFill="1" applyBorder="1" applyAlignment="1">
      <alignment horizontal="left"/>
    </xf>
    <xf numFmtId="0" fontId="10" fillId="23" borderId="16" xfId="0" applyFont="1" applyFill="1" applyBorder="1" applyAlignment="1">
      <alignment horizontal="center"/>
    </xf>
    <xf numFmtId="0" fontId="9" fillId="25" borderId="16" xfId="0" applyFont="1" applyFill="1" applyBorder="1" applyAlignment="1">
      <alignment horizontal="center"/>
    </xf>
    <xf numFmtId="0" fontId="9" fillId="3" borderId="18" xfId="0" applyFont="1" applyFill="1" applyBorder="1" applyAlignment="1">
      <alignment horizontal="center"/>
    </xf>
    <xf numFmtId="0" fontId="10" fillId="4" borderId="18" xfId="0" applyFont="1" applyFill="1" applyBorder="1" applyAlignment="1">
      <alignment horizontal="center"/>
    </xf>
    <xf numFmtId="0" fontId="10" fillId="5" borderId="18" xfId="0" applyFont="1" applyFill="1" applyBorder="1" applyAlignment="1">
      <alignment horizontal="center"/>
    </xf>
    <xf numFmtId="0" fontId="10" fillId="18" borderId="18" xfId="0" applyFont="1" applyFill="1" applyBorder="1" applyAlignment="1">
      <alignment horizontal="center"/>
    </xf>
    <xf numFmtId="0" fontId="10" fillId="19" borderId="18" xfId="0" applyFont="1" applyFill="1" applyBorder="1" applyAlignment="1">
      <alignment horizontal="center"/>
    </xf>
    <xf numFmtId="0" fontId="10" fillId="0" borderId="18" xfId="0" applyFont="1" applyBorder="1" applyAlignment="1">
      <alignment horizontal="center"/>
    </xf>
    <xf numFmtId="0" fontId="10" fillId="20" borderId="18" xfId="0" applyFont="1" applyFill="1" applyBorder="1" applyAlignment="1">
      <alignment horizontal="center"/>
    </xf>
    <xf numFmtId="0" fontId="9" fillId="3" borderId="19" xfId="0" applyFont="1" applyFill="1" applyBorder="1" applyAlignment="1">
      <alignment horizontal="center"/>
    </xf>
    <xf numFmtId="0" fontId="10" fillId="4" borderId="19" xfId="0" applyFont="1" applyFill="1" applyBorder="1" applyAlignment="1">
      <alignment horizontal="center"/>
    </xf>
    <xf numFmtId="0" fontId="10" fillId="5" borderId="19" xfId="0" applyFont="1" applyFill="1" applyBorder="1" applyAlignment="1">
      <alignment horizontal="center"/>
    </xf>
    <xf numFmtId="0" fontId="10" fillId="18" borderId="19" xfId="0" applyFont="1" applyFill="1" applyBorder="1" applyAlignment="1">
      <alignment horizontal="center"/>
    </xf>
    <xf numFmtId="0" fontId="10" fillId="19" borderId="19" xfId="0" applyFont="1" applyFill="1" applyBorder="1" applyAlignment="1">
      <alignment horizontal="center"/>
    </xf>
    <xf numFmtId="0" fontId="10" fillId="0" borderId="19" xfId="0" applyFont="1" applyBorder="1" applyAlignment="1">
      <alignment horizontal="center"/>
    </xf>
    <xf numFmtId="0" fontId="10" fillId="20" borderId="19" xfId="0" applyFont="1" applyFill="1" applyBorder="1" applyAlignment="1">
      <alignment horizontal="center"/>
    </xf>
    <xf numFmtId="0" fontId="10" fillId="23" borderId="19" xfId="0" applyFont="1" applyFill="1" applyBorder="1" applyAlignment="1">
      <alignment horizontal="center"/>
    </xf>
    <xf numFmtId="0" fontId="10" fillId="16" borderId="23" xfId="0" applyFont="1" applyFill="1" applyBorder="1" applyAlignment="1">
      <alignment horizontal="center"/>
    </xf>
    <xf numFmtId="0" fontId="10" fillId="16" borderId="24" xfId="0" applyFont="1" applyFill="1" applyBorder="1" applyAlignment="1">
      <alignment horizontal="center"/>
    </xf>
    <xf numFmtId="0" fontId="10" fillId="16" borderId="25" xfId="0" applyFont="1" applyFill="1" applyBorder="1" applyAlignment="1">
      <alignment horizontal="center"/>
    </xf>
    <xf numFmtId="0" fontId="10" fillId="16" borderId="26" xfId="0" applyFont="1" applyFill="1" applyBorder="1" applyAlignment="1">
      <alignment horizontal="center"/>
    </xf>
    <xf numFmtId="0" fontId="10" fillId="16" borderId="27" xfId="0" applyFont="1" applyFill="1" applyBorder="1" applyAlignment="1">
      <alignment horizontal="center"/>
    </xf>
    <xf numFmtId="0" fontId="11" fillId="16" borderId="23" xfId="0" applyFont="1" applyFill="1" applyBorder="1" applyAlignment="1">
      <alignment horizontal="center"/>
    </xf>
    <xf numFmtId="0" fontId="11" fillId="16" borderId="16" xfId="0" applyFont="1" applyFill="1" applyBorder="1" applyAlignment="1">
      <alignment horizontal="center"/>
    </xf>
    <xf numFmtId="0" fontId="11" fillId="16" borderId="24" xfId="0" applyFont="1" applyFill="1" applyBorder="1" applyAlignment="1">
      <alignment horizontal="center"/>
    </xf>
    <xf numFmtId="0" fontId="2" fillId="2" borderId="0" xfId="0" applyFont="1" applyFill="1" applyAlignment="1">
      <alignment horizontal="center"/>
    </xf>
    <xf numFmtId="0" fontId="10" fillId="25" borderId="16" xfId="0" applyFont="1" applyFill="1" applyBorder="1" applyAlignment="1">
      <alignment horizontal="center"/>
    </xf>
    <xf numFmtId="0" fontId="10" fillId="5" borderId="16" xfId="0" applyFont="1" applyFill="1" applyBorder="1" applyAlignment="1">
      <alignment horizontal="center"/>
    </xf>
    <xf numFmtId="0" fontId="10" fillId="16" borderId="16" xfId="0" applyFont="1" applyFill="1" applyBorder="1" applyAlignment="1">
      <alignment horizontal="center"/>
    </xf>
    <xf numFmtId="0" fontId="12" fillId="3" borderId="0" xfId="0" applyFont="1" applyFill="1"/>
    <xf numFmtId="0" fontId="0" fillId="3" borderId="0" xfId="0" applyFill="1"/>
    <xf numFmtId="0" fontId="12" fillId="26" borderId="0" xfId="0" applyFont="1" applyFill="1"/>
    <xf numFmtId="0" fontId="0" fillId="26" borderId="0" xfId="0" applyFill="1"/>
    <xf numFmtId="0" fontId="13" fillId="5" borderId="0" xfId="0" applyFont="1" applyFill="1"/>
    <xf numFmtId="0" fontId="13" fillId="5" borderId="0" xfId="0" applyFont="1" applyFill="1" applyAlignment="1">
      <alignment wrapText="1"/>
    </xf>
    <xf numFmtId="0" fontId="0" fillId="0" borderId="16" xfId="0" applyBorder="1"/>
    <xf numFmtId="0" fontId="0" fillId="0" borderId="18" xfId="0" applyBorder="1"/>
    <xf numFmtId="0" fontId="0" fillId="0" borderId="19" xfId="0" applyBorder="1"/>
    <xf numFmtId="0" fontId="2" fillId="2" borderId="0" xfId="0" applyFont="1" applyFill="1" applyAlignment="1">
      <alignment horizontal="center"/>
    </xf>
    <xf numFmtId="0" fontId="0" fillId="5" borderId="8"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5" borderId="6" xfId="0" applyFill="1" applyBorder="1" applyAlignment="1">
      <alignment horizontal="center"/>
    </xf>
    <xf numFmtId="0" fontId="10" fillId="25" borderId="16" xfId="0" applyFont="1" applyFill="1" applyBorder="1" applyAlignment="1">
      <alignment horizontal="center"/>
    </xf>
    <xf numFmtId="0" fontId="10" fillId="6" borderId="16" xfId="0" applyFont="1" applyFill="1" applyBorder="1" applyAlignment="1">
      <alignment horizontal="center"/>
    </xf>
    <xf numFmtId="0" fontId="0" fillId="0" borderId="16" xfId="0" applyBorder="1"/>
    <xf numFmtId="0" fontId="10" fillId="5" borderId="16" xfId="0" applyFont="1" applyFill="1" applyBorder="1" applyAlignment="1">
      <alignment horizontal="center"/>
    </xf>
    <xf numFmtId="0" fontId="10" fillId="16" borderId="16" xfId="0" applyFont="1" applyFill="1" applyBorder="1" applyAlignment="1">
      <alignment horizontal="center"/>
    </xf>
    <xf numFmtId="0" fontId="0" fillId="0" borderId="19" xfId="0" applyBorder="1"/>
    <xf numFmtId="0" fontId="0" fillId="25" borderId="16" xfId="0" applyFill="1" applyBorder="1"/>
    <xf numFmtId="0" fontId="0" fillId="0" borderId="18" xfId="0" applyBorder="1"/>
    <xf numFmtId="0" fontId="0" fillId="16" borderId="23" xfId="0" applyFill="1" applyBorder="1"/>
    <xf numFmtId="0" fontId="0" fillId="16" borderId="16" xfId="0" applyFill="1" applyBorder="1"/>
    <xf numFmtId="0" fontId="0" fillId="16" borderId="24" xfId="0" applyFill="1" applyBorder="1"/>
    <xf numFmtId="0" fontId="0" fillId="16" borderId="20" xfId="0" applyFill="1" applyBorder="1"/>
    <xf numFmtId="0" fontId="0" fillId="16" borderId="21" xfId="0" applyFill="1" applyBorder="1"/>
    <xf numFmtId="0" fontId="0" fillId="16" borderId="22" xfId="0" applyFill="1" applyBorder="1"/>
    <xf numFmtId="0" fontId="20" fillId="28" borderId="28" xfId="0" applyFont="1" applyFill="1" applyBorder="1" applyAlignment="1">
      <alignment horizontal="center"/>
    </xf>
    <xf numFmtId="0" fontId="19" fillId="29" borderId="28" xfId="0" applyFont="1" applyFill="1" applyBorder="1" applyAlignment="1">
      <alignment horizontal="center"/>
    </xf>
    <xf numFmtId="0" fontId="20" fillId="27" borderId="28" xfId="0" applyFont="1" applyFill="1" applyBorder="1"/>
    <xf numFmtId="0" fontId="22" fillId="0" borderId="28" xfId="0" applyFont="1" applyBorder="1" applyAlignment="1">
      <alignment vertical="top" wrapText="1"/>
    </xf>
    <xf numFmtId="0" fontId="23" fillId="4" borderId="28" xfId="0" applyFont="1" applyFill="1" applyBorder="1" applyAlignment="1">
      <alignment vertical="top" wrapText="1"/>
    </xf>
    <xf numFmtId="0" fontId="24" fillId="30" borderId="28" xfId="0" applyFont="1" applyFill="1" applyBorder="1" applyAlignment="1">
      <alignment vertical="top" wrapText="1"/>
    </xf>
    <xf numFmtId="0" fontId="24" fillId="31" borderId="28" xfId="0" applyFont="1" applyFill="1" applyBorder="1" applyAlignment="1">
      <alignment vertical="top" wrapText="1"/>
    </xf>
    <xf numFmtId="0" fontId="0" fillId="0" borderId="28" xfId="0" applyBorder="1"/>
    <xf numFmtId="0" fontId="16" fillId="29" borderId="28" xfId="0" applyFont="1" applyFill="1" applyBorder="1" applyAlignment="1">
      <alignment horizontal="center"/>
    </xf>
    <xf numFmtId="0" fontId="0" fillId="32" borderId="28" xfId="0" applyFill="1" applyBorder="1" applyAlignment="1">
      <alignment horizontal="center"/>
    </xf>
    <xf numFmtId="0" fontId="20" fillId="28" borderId="16" xfId="0" applyFont="1" applyFill="1" applyBorder="1" applyAlignment="1">
      <alignment horizontal="center"/>
    </xf>
    <xf numFmtId="0" fontId="20" fillId="28" borderId="18" xfId="0" applyFont="1" applyFill="1" applyBorder="1" applyAlignment="1">
      <alignment horizontal="center"/>
    </xf>
    <xf numFmtId="0" fontId="19" fillId="29" borderId="19" xfId="0" applyFont="1" applyFill="1" applyBorder="1" applyAlignment="1">
      <alignment horizontal="center"/>
    </xf>
    <xf numFmtId="0" fontId="19" fillId="29" borderId="16" xfId="0" applyFont="1" applyFill="1" applyBorder="1" applyAlignment="1">
      <alignment horizontal="center"/>
    </xf>
    <xf numFmtId="0" fontId="19" fillId="29" borderId="18" xfId="0" applyFont="1" applyFill="1" applyBorder="1" applyAlignment="1">
      <alignment horizontal="center"/>
    </xf>
    <xf numFmtId="0" fontId="20" fillId="27" borderId="19" xfId="0" applyFont="1" applyFill="1" applyBorder="1"/>
    <xf numFmtId="0" fontId="20" fillId="27" borderId="16" xfId="0" applyFont="1" applyFill="1" applyBorder="1"/>
    <xf numFmtId="0" fontId="20" fillId="27" borderId="18" xfId="0" applyFont="1" applyFill="1" applyBorder="1"/>
    <xf numFmtId="0" fontId="22" fillId="0" borderId="16" xfId="0" applyFont="1" applyBorder="1" applyAlignment="1">
      <alignment vertical="top" wrapText="1"/>
    </xf>
    <xf numFmtId="0" fontId="22" fillId="0" borderId="18" xfId="0" applyFont="1" applyBorder="1" applyAlignment="1">
      <alignment vertical="top" wrapText="1"/>
    </xf>
    <xf numFmtId="0" fontId="23" fillId="4" borderId="16" xfId="0" applyFont="1" applyFill="1" applyBorder="1" applyAlignment="1">
      <alignment vertical="top" wrapText="1"/>
    </xf>
    <xf numFmtId="0" fontId="23" fillId="4" borderId="18" xfId="0" applyFont="1" applyFill="1" applyBorder="1" applyAlignment="1">
      <alignment vertical="top" wrapText="1"/>
    </xf>
    <xf numFmtId="0" fontId="24" fillId="30" borderId="16" xfId="0" applyFont="1" applyFill="1" applyBorder="1" applyAlignment="1">
      <alignment vertical="top" wrapText="1"/>
    </xf>
    <xf numFmtId="0" fontId="24" fillId="30" borderId="18" xfId="0" applyFont="1" applyFill="1" applyBorder="1" applyAlignment="1">
      <alignment vertical="top" wrapText="1"/>
    </xf>
    <xf numFmtId="0" fontId="24" fillId="31" borderId="16" xfId="0" applyFont="1" applyFill="1" applyBorder="1" applyAlignment="1">
      <alignment vertical="top" wrapText="1"/>
    </xf>
    <xf numFmtId="0" fontId="24" fillId="31" borderId="18" xfId="0" applyFont="1" applyFill="1" applyBorder="1" applyAlignment="1">
      <alignment vertical="top" wrapText="1"/>
    </xf>
    <xf numFmtId="0" fontId="16" fillId="29" borderId="19" xfId="0" applyFont="1" applyFill="1" applyBorder="1" applyAlignment="1">
      <alignment horizontal="center"/>
    </xf>
    <xf numFmtId="0" fontId="16" fillId="29" borderId="16" xfId="0" applyFont="1" applyFill="1" applyBorder="1" applyAlignment="1">
      <alignment horizontal="center"/>
    </xf>
    <xf numFmtId="0" fontId="16" fillId="29" borderId="18" xfId="0" applyFont="1" applyFill="1" applyBorder="1" applyAlignment="1">
      <alignment horizontal="center"/>
    </xf>
    <xf numFmtId="0" fontId="0" fillId="32" borderId="16" xfId="0" applyFill="1" applyBorder="1" applyAlignment="1">
      <alignment horizontal="center"/>
    </xf>
    <xf numFmtId="0" fontId="0" fillId="32" borderId="18" xfId="0" applyFill="1" applyBorder="1" applyAlignment="1">
      <alignment horizontal="center"/>
    </xf>
    <xf numFmtId="0" fontId="18" fillId="27" borderId="16" xfId="0" applyFont="1" applyFill="1" applyBorder="1" applyAlignment="1">
      <alignment horizontal="center"/>
    </xf>
    <xf numFmtId="0" fontId="20" fillId="28" borderId="16" xfId="0" applyFont="1" applyFill="1" applyBorder="1" applyAlignment="1">
      <alignment horizontal="center"/>
    </xf>
    <xf numFmtId="0" fontId="25" fillId="0" borderId="16" xfId="0" applyFont="1" applyBorder="1" applyAlignment="1">
      <alignment vertical="top" wrapText="1"/>
    </xf>
    <xf numFmtId="0" fontId="25" fillId="4" borderId="16" xfId="0" applyFont="1" applyFill="1" applyBorder="1" applyAlignment="1">
      <alignment vertical="top" wrapText="1"/>
    </xf>
    <xf numFmtId="0" fontId="26" fillId="30" borderId="16" xfId="0" applyFont="1" applyFill="1" applyBorder="1" applyAlignment="1">
      <alignment vertical="top" wrapText="1"/>
    </xf>
    <xf numFmtId="0" fontId="26" fillId="31" borderId="16" xfId="0" applyFont="1" applyFill="1" applyBorder="1" applyAlignment="1">
      <alignment vertical="top" wrapText="1"/>
    </xf>
    <xf numFmtId="0" fontId="0" fillId="32" borderId="16" xfId="0" applyFill="1" applyBorder="1"/>
    <xf numFmtId="0" fontId="20" fillId="28" borderId="19" xfId="0" applyFont="1" applyFill="1" applyBorder="1" applyAlignment="1">
      <alignment horizontal="center"/>
    </xf>
    <xf numFmtId="0" fontId="22" fillId="0" borderId="19" xfId="0" applyFont="1" applyBorder="1" applyAlignment="1">
      <alignment vertical="top" wrapText="1"/>
    </xf>
    <xf numFmtId="0" fontId="23" fillId="4" borderId="19" xfId="0" applyFont="1" applyFill="1" applyBorder="1" applyAlignment="1">
      <alignment vertical="top" wrapText="1"/>
    </xf>
    <xf numFmtId="0" fontId="24" fillId="30" borderId="19" xfId="0" applyFont="1" applyFill="1" applyBorder="1" applyAlignment="1">
      <alignment vertical="top" wrapText="1"/>
    </xf>
    <xf numFmtId="0" fontId="24" fillId="31" borderId="19" xfId="0" applyFont="1" applyFill="1" applyBorder="1" applyAlignment="1">
      <alignment vertical="top" wrapText="1"/>
    </xf>
    <xf numFmtId="0" fontId="0" fillId="32" borderId="19" xfId="0" applyFill="1" applyBorder="1" applyAlignment="1">
      <alignment horizontal="center"/>
    </xf>
    <xf numFmtId="0" fontId="0" fillId="0" borderId="29" xfId="0" applyBorder="1"/>
    <xf numFmtId="0" fontId="20" fillId="28" borderId="30" xfId="0" applyFont="1" applyFill="1" applyBorder="1" applyAlignment="1">
      <alignment horizontal="center"/>
    </xf>
    <xf numFmtId="0" fontId="19" fillId="29" borderId="30" xfId="0" applyFont="1" applyFill="1" applyBorder="1" applyAlignment="1">
      <alignment horizontal="center"/>
    </xf>
    <xf numFmtId="0" fontId="20" fillId="27" borderId="30" xfId="0" applyFont="1" applyFill="1" applyBorder="1"/>
    <xf numFmtId="0" fontId="22" fillId="0" borderId="30" xfId="0" applyFont="1" applyBorder="1" applyAlignment="1">
      <alignment vertical="top" wrapText="1"/>
    </xf>
    <xf numFmtId="0" fontId="23" fillId="4" borderId="30" xfId="0" applyFont="1" applyFill="1" applyBorder="1" applyAlignment="1">
      <alignment vertical="top" wrapText="1"/>
    </xf>
    <xf numFmtId="0" fontId="24" fillId="30" borderId="30" xfId="0" applyFont="1" applyFill="1" applyBorder="1" applyAlignment="1">
      <alignment vertical="top" wrapText="1"/>
    </xf>
    <xf numFmtId="0" fontId="24" fillId="31" borderId="30" xfId="0" applyFont="1" applyFill="1" applyBorder="1" applyAlignment="1">
      <alignment vertical="top" wrapText="1"/>
    </xf>
    <xf numFmtId="0" fontId="0" fillId="0" borderId="30" xfId="0" applyBorder="1"/>
    <xf numFmtId="0" fontId="16" fillId="29" borderId="30" xfId="0" applyFont="1" applyFill="1" applyBorder="1" applyAlignment="1">
      <alignment horizontal="center"/>
    </xf>
    <xf numFmtId="0" fontId="0" fillId="32" borderId="30" xfId="0" applyFill="1" applyBorder="1" applyAlignment="1">
      <alignment horizontal="center"/>
    </xf>
    <xf numFmtId="0" fontId="0" fillId="32" borderId="0" xfId="0" applyFill="1" applyBorder="1"/>
    <xf numFmtId="0" fontId="16" fillId="33" borderId="0" xfId="0" applyFont="1" applyFill="1" applyBorder="1"/>
    <xf numFmtId="0" fontId="27" fillId="32" borderId="0" xfId="0" applyFont="1" applyFill="1" applyBorder="1" applyAlignment="1">
      <alignment wrapText="1"/>
    </xf>
    <xf numFmtId="0" fontId="0" fillId="32" borderId="0" xfId="0" applyFill="1" applyBorder="1" applyAlignment="1">
      <alignment wrapText="1"/>
    </xf>
    <xf numFmtId="0" fontId="27" fillId="0" borderId="0" xfId="0" applyFont="1" applyAlignment="1">
      <alignment wrapText="1"/>
    </xf>
    <xf numFmtId="0" fontId="0" fillId="0" borderId="0" xfId="0" applyAlignment="1">
      <alignment wrapText="1"/>
    </xf>
    <xf numFmtId="0" fontId="0" fillId="0" borderId="28" xfId="0" applyBorder="1"/>
    <xf numFmtId="0" fontId="19" fillId="29" borderId="16" xfId="0" applyFont="1" applyFill="1" applyBorder="1" applyAlignment="1">
      <alignment horizontal="center" wrapText="1"/>
    </xf>
    <xf numFmtId="0" fontId="19" fillId="32" borderId="16" xfId="0" applyFont="1" applyFill="1" applyBorder="1" applyAlignment="1">
      <alignment horizontal="center" wrapText="1"/>
    </xf>
    <xf numFmtId="0" fontId="19" fillId="35" borderId="16" xfId="0" applyFont="1" applyFill="1" applyBorder="1" applyAlignment="1">
      <alignment horizontal="center" wrapText="1"/>
    </xf>
    <xf numFmtId="0" fontId="19" fillId="36" borderId="16" xfId="0" applyFont="1" applyFill="1" applyBorder="1" applyAlignment="1">
      <alignment horizontal="center" wrapText="1"/>
    </xf>
    <xf numFmtId="0" fontId="28" fillId="37" borderId="16" xfId="0" applyFont="1" applyFill="1" applyBorder="1" applyAlignment="1">
      <alignment vertical="top" wrapText="1"/>
    </xf>
    <xf numFmtId="0" fontId="22" fillId="37" borderId="16" xfId="0" applyFont="1" applyFill="1" applyBorder="1" applyAlignment="1">
      <alignment horizontal="center" vertical="center" wrapText="1"/>
    </xf>
    <xf numFmtId="0" fontId="22" fillId="37" borderId="16" xfId="0" applyFont="1" applyFill="1" applyBorder="1" applyAlignment="1">
      <alignment vertical="top" wrapText="1"/>
    </xf>
    <xf numFmtId="0" fontId="28" fillId="0" borderId="16" xfId="0" applyFont="1" applyBorder="1" applyAlignment="1">
      <alignment vertical="top" wrapText="1"/>
    </xf>
    <xf numFmtId="0" fontId="22" fillId="4" borderId="16" xfId="0" applyFont="1" applyFill="1" applyBorder="1" applyAlignment="1">
      <alignment horizontal="center" vertical="center" wrapText="1"/>
    </xf>
    <xf numFmtId="0" fontId="28" fillId="0" borderId="16" xfId="0" applyFont="1" applyBorder="1" applyAlignment="1">
      <alignment vertical="top" wrapText="1"/>
    </xf>
    <xf numFmtId="0" fontId="22" fillId="4" borderId="16" xfId="0" applyFont="1" applyFill="1" applyBorder="1" applyAlignment="1">
      <alignment horizontal="center" vertical="center" wrapText="1"/>
    </xf>
    <xf numFmtId="0" fontId="22" fillId="0" borderId="16" xfId="0" applyFont="1" applyBorder="1" applyAlignment="1">
      <alignment vertical="top" wrapText="1"/>
    </xf>
    <xf numFmtId="0" fontId="22" fillId="0" borderId="18" xfId="0" applyFont="1" applyBorder="1" applyAlignment="1">
      <alignment vertical="top" wrapText="1"/>
    </xf>
    <xf numFmtId="0" fontId="22" fillId="0" borderId="16" xfId="0" applyFont="1" applyBorder="1" applyAlignment="1">
      <alignment horizontal="center" vertical="center" wrapText="1"/>
    </xf>
    <xf numFmtId="0" fontId="21" fillId="28" borderId="16" xfId="0" applyFont="1" applyFill="1" applyBorder="1"/>
    <xf numFmtId="0" fontId="22" fillId="37" borderId="16" xfId="0" applyFont="1" applyFill="1" applyBorder="1" applyAlignment="1">
      <alignment horizontal="center" vertical="top" wrapText="1"/>
    </xf>
    <xf numFmtId="0" fontId="22" fillId="0" borderId="16" xfId="0" applyFont="1" applyBorder="1" applyAlignment="1">
      <alignment horizontal="center" vertical="top" wrapText="1"/>
    </xf>
    <xf numFmtId="0" fontId="24" fillId="30" borderId="16" xfId="0" applyFont="1" applyFill="1" applyBorder="1" applyAlignment="1">
      <alignment horizontal="center" vertical="top" wrapText="1"/>
    </xf>
    <xf numFmtId="0" fontId="24" fillId="31" borderId="16" xfId="0" applyFont="1" applyFill="1" applyBorder="1" applyAlignment="1">
      <alignment vertical="top" wrapText="1"/>
    </xf>
    <xf numFmtId="0" fontId="21" fillId="34" borderId="16" xfId="0" applyFont="1" applyFill="1" applyBorder="1"/>
    <xf numFmtId="0" fontId="19" fillId="0" borderId="16" xfId="0" applyFont="1" applyBorder="1"/>
    <xf numFmtId="0" fontId="19" fillId="33" borderId="16" xfId="0" applyFont="1" applyFill="1" applyBorder="1" applyAlignment="1">
      <alignment horizontal="center" wrapText="1"/>
    </xf>
    <xf numFmtId="0" fontId="0" fillId="27" borderId="0" xfId="0" applyFill="1"/>
    <xf numFmtId="0" fontId="30" fillId="6" borderId="30" xfId="0" applyFont="1" applyFill="1" applyBorder="1" applyAlignment="1">
      <alignment vertical="top" wrapText="1"/>
    </xf>
    <xf numFmtId="0" fontId="30" fillId="6" borderId="28" xfId="0" applyFont="1" applyFill="1" applyBorder="1" applyAlignment="1">
      <alignment vertical="top" wrapText="1"/>
    </xf>
    <xf numFmtId="0" fontId="30" fillId="6" borderId="19" xfId="0" applyFont="1" applyFill="1" applyBorder="1" applyAlignment="1">
      <alignment vertical="top" wrapText="1"/>
    </xf>
    <xf numFmtId="0" fontId="0" fillId="0" borderId="28" xfId="0" applyBorder="1" applyAlignment="1">
      <alignment wrapText="1"/>
    </xf>
    <xf numFmtId="0" fontId="29" fillId="34" borderId="18" xfId="0" applyFont="1" applyFill="1" applyBorder="1" applyAlignment="1">
      <alignment horizontal="center"/>
    </xf>
    <xf numFmtId="0" fontId="16" fillId="33" borderId="18" xfId="0" applyFont="1" applyFill="1" applyBorder="1"/>
    <xf numFmtId="0" fontId="19" fillId="29" borderId="18" xfId="0" applyFont="1" applyFill="1" applyBorder="1"/>
    <xf numFmtId="0" fontId="19" fillId="38" borderId="18" xfId="0" applyFont="1" applyFill="1" applyBorder="1"/>
    <xf numFmtId="0" fontId="0" fillId="0" borderId="19" xfId="0" applyBorder="1" applyAlignment="1">
      <alignment wrapText="1"/>
    </xf>
    <xf numFmtId="0" fontId="32" fillId="0" borderId="0" xfId="0" applyFont="1"/>
    <xf numFmtId="0" fontId="31" fillId="0" borderId="0" xfId="0" applyFont="1"/>
    <xf numFmtId="0" fontId="17" fillId="0" borderId="0" xfId="1"/>
    <xf numFmtId="16" fontId="31" fillId="0" borderId="0" xfId="0" applyNumberFormat="1" applyFont="1"/>
    <xf numFmtId="17" fontId="31"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2ADD905-C8B9-314F-9A09-AF7FF0717236}">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8" Type="http://schemas.openxmlformats.org/officeDocument/2006/relationships/hyperlink" Target="http://instagram.com/" TargetMode="External"/><Relationship Id="rId3" Type="http://schemas.openxmlformats.org/officeDocument/2006/relationships/hyperlink" Target="mailto:yhe@gmail.com" TargetMode="External"/><Relationship Id="rId7" Type="http://schemas.openxmlformats.org/officeDocument/2006/relationships/hyperlink" Target="mailto:heno2@hotmail.com" TargetMode="External"/><Relationship Id="rId2" Type="http://schemas.openxmlformats.org/officeDocument/2006/relationships/hyperlink" Target="http://m.facebook.com/" TargetMode="External"/><Relationship Id="rId1" Type="http://schemas.openxmlformats.org/officeDocument/2006/relationships/hyperlink" Target="mailto:prince81prince@gmail.com" TargetMode="External"/><Relationship Id="rId6" Type="http://schemas.openxmlformats.org/officeDocument/2006/relationships/hyperlink" Target="http://m.facebook.com/" TargetMode="External"/><Relationship Id="rId5" Type="http://schemas.openxmlformats.org/officeDocument/2006/relationships/hyperlink" Target="mailto:ozharry@hotmail.com" TargetMode="External"/><Relationship Id="rId4" Type="http://schemas.openxmlformats.org/officeDocument/2006/relationships/hyperlink" Target="https://instagra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94B72-CF0C-FD46-998C-F09357B400EA}">
  <dimension ref="A1:O46"/>
  <sheetViews>
    <sheetView workbookViewId="0">
      <pane xSplit="1" ySplit="2" topLeftCell="B3" activePane="bottomRight" state="frozen"/>
      <selection pane="topRight" activeCell="B1" sqref="B1"/>
      <selection pane="bottomLeft" activeCell="A3" sqref="A3"/>
      <selection pane="bottomRight" activeCell="J17" sqref="J17"/>
    </sheetView>
  </sheetViews>
  <sheetFormatPr baseColWidth="10" defaultColWidth="11" defaultRowHeight="16" x14ac:dyDescent="0.2"/>
  <cols>
    <col min="1" max="1" width="30" customWidth="1"/>
    <col min="2" max="12" width="10" customWidth="1"/>
    <col min="13" max="13" width="12.6640625" customWidth="1"/>
    <col min="14" max="15" width="10" customWidth="1"/>
  </cols>
  <sheetData>
    <row r="1" spans="1:15" x14ac:dyDescent="0.2">
      <c r="A1" s="98"/>
      <c r="B1" s="111" t="s">
        <v>0</v>
      </c>
      <c r="C1" s="111"/>
      <c r="D1" s="111"/>
      <c r="E1" s="111"/>
      <c r="F1" s="111"/>
      <c r="G1" s="111" t="s">
        <v>1</v>
      </c>
      <c r="H1" s="111"/>
      <c r="I1" s="111"/>
      <c r="J1" s="111"/>
      <c r="K1" s="111" t="s">
        <v>2</v>
      </c>
      <c r="L1" s="111"/>
      <c r="M1" s="111"/>
      <c r="N1" s="111"/>
      <c r="O1" s="111"/>
    </row>
    <row r="2" spans="1:15" ht="50" customHeight="1" thickBot="1" x14ac:dyDescent="0.25">
      <c r="A2" s="1" t="s">
        <v>3</v>
      </c>
      <c r="B2" s="37" t="s">
        <v>4</v>
      </c>
      <c r="C2" s="38" t="s">
        <v>5</v>
      </c>
      <c r="D2" s="38" t="s">
        <v>6</v>
      </c>
      <c r="E2" s="38" t="s">
        <v>7</v>
      </c>
      <c r="F2" s="38" t="s">
        <v>8</v>
      </c>
      <c r="G2" s="38" t="s">
        <v>9</v>
      </c>
      <c r="H2" s="38" t="s">
        <v>10</v>
      </c>
      <c r="I2" s="38" t="s">
        <v>11</v>
      </c>
      <c r="J2" s="38" t="s">
        <v>12</v>
      </c>
      <c r="K2" s="38" t="s">
        <v>13</v>
      </c>
      <c r="L2" s="38" t="s">
        <v>14</v>
      </c>
      <c r="M2" s="38" t="s">
        <v>15</v>
      </c>
      <c r="N2" s="38" t="s">
        <v>16</v>
      </c>
      <c r="O2" s="42"/>
    </row>
    <row r="3" spans="1:15" x14ac:dyDescent="0.2">
      <c r="A3" s="2" t="s">
        <v>17</v>
      </c>
      <c r="B3" s="14"/>
      <c r="C3" s="4"/>
      <c r="D3" s="4"/>
      <c r="E3" s="4"/>
      <c r="F3" s="4"/>
      <c r="G3" s="3"/>
      <c r="H3" s="4"/>
      <c r="I3" s="4"/>
      <c r="J3" s="4"/>
      <c r="K3" s="3"/>
      <c r="L3" s="4"/>
      <c r="M3" s="4"/>
      <c r="N3" s="4"/>
      <c r="O3" s="43"/>
    </row>
    <row r="4" spans="1:15" x14ac:dyDescent="0.2">
      <c r="A4" s="5" t="s">
        <v>18</v>
      </c>
      <c r="B4" s="15"/>
      <c r="C4" s="112" t="s">
        <v>19</v>
      </c>
      <c r="D4" s="113"/>
      <c r="E4" s="113"/>
      <c r="F4" s="114"/>
      <c r="G4" s="115" t="s">
        <v>20</v>
      </c>
      <c r="H4" s="113"/>
      <c r="I4" s="113"/>
      <c r="J4" s="114"/>
      <c r="K4" s="115" t="s">
        <v>21</v>
      </c>
      <c r="L4" s="113"/>
      <c r="M4" s="113"/>
      <c r="N4" s="113"/>
      <c r="O4" s="43"/>
    </row>
    <row r="5" spans="1:15" x14ac:dyDescent="0.2">
      <c r="A5" s="8" t="s">
        <v>22</v>
      </c>
      <c r="B5" s="15"/>
      <c r="C5" s="10"/>
      <c r="D5" s="10"/>
      <c r="E5" s="10"/>
      <c r="F5" s="10"/>
      <c r="G5" s="9"/>
      <c r="H5" s="10"/>
      <c r="I5" s="10"/>
      <c r="J5" s="10"/>
      <c r="K5" s="9"/>
      <c r="L5" s="10"/>
      <c r="M5" s="10"/>
      <c r="N5" s="10"/>
      <c r="O5" s="43"/>
    </row>
    <row r="6" spans="1:15" x14ac:dyDescent="0.2">
      <c r="A6" s="23" t="s">
        <v>23</v>
      </c>
      <c r="B6" s="15">
        <v>0</v>
      </c>
      <c r="C6" s="24">
        <v>40</v>
      </c>
      <c r="D6" s="24">
        <v>40</v>
      </c>
      <c r="E6" s="24">
        <v>40</v>
      </c>
      <c r="F6" s="24">
        <v>40</v>
      </c>
      <c r="G6" s="25">
        <v>40</v>
      </c>
      <c r="H6" s="24">
        <v>40</v>
      </c>
      <c r="I6" s="24">
        <v>40</v>
      </c>
      <c r="J6" s="24">
        <v>40</v>
      </c>
      <c r="K6" s="25">
        <v>40</v>
      </c>
      <c r="L6" s="24">
        <v>40</v>
      </c>
      <c r="M6" s="24">
        <v>40</v>
      </c>
      <c r="N6" s="24">
        <v>40</v>
      </c>
      <c r="O6" s="43">
        <f>SUM(C6:N6)</f>
        <v>480</v>
      </c>
    </row>
    <row r="7" spans="1:15" x14ac:dyDescent="0.2">
      <c r="A7" s="26" t="s">
        <v>24</v>
      </c>
      <c r="B7" s="15"/>
      <c r="C7" s="27">
        <v>40</v>
      </c>
      <c r="D7" s="27">
        <v>40</v>
      </c>
      <c r="E7" s="27">
        <v>40</v>
      </c>
      <c r="F7" s="27">
        <v>40</v>
      </c>
      <c r="G7" s="27">
        <v>40</v>
      </c>
      <c r="H7" s="27">
        <v>40</v>
      </c>
      <c r="I7" s="27">
        <v>40</v>
      </c>
      <c r="J7" s="27">
        <v>40</v>
      </c>
      <c r="K7" s="27">
        <v>40</v>
      </c>
      <c r="L7" s="27">
        <v>40</v>
      </c>
      <c r="M7" s="27">
        <v>40</v>
      </c>
      <c r="N7" s="27">
        <v>40</v>
      </c>
      <c r="O7" s="43">
        <f t="shared" ref="O7:O26" si="0">SUM(C7:N7)</f>
        <v>480</v>
      </c>
    </row>
    <row r="8" spans="1:15" x14ac:dyDescent="0.2">
      <c r="A8" s="5" t="s">
        <v>25</v>
      </c>
      <c r="B8" s="15"/>
      <c r="C8" s="7"/>
      <c r="D8" s="7"/>
      <c r="E8" s="7"/>
      <c r="F8" s="7"/>
      <c r="G8" s="6"/>
      <c r="H8" s="7"/>
      <c r="I8" s="7"/>
      <c r="J8" s="7"/>
      <c r="K8" s="6"/>
      <c r="L8" s="7"/>
      <c r="M8" s="7"/>
      <c r="N8" s="7"/>
      <c r="O8" s="43">
        <f t="shared" si="0"/>
        <v>0</v>
      </c>
    </row>
    <row r="9" spans="1:15" x14ac:dyDescent="0.2">
      <c r="A9" s="28" t="s">
        <v>26</v>
      </c>
      <c r="B9" s="15"/>
      <c r="C9" s="10"/>
      <c r="D9" s="13">
        <v>10</v>
      </c>
      <c r="E9" s="13">
        <v>10</v>
      </c>
      <c r="F9" s="13">
        <v>10</v>
      </c>
      <c r="G9" s="9"/>
      <c r="H9" s="10"/>
      <c r="I9" s="10"/>
      <c r="J9" s="10"/>
      <c r="K9" s="9"/>
      <c r="L9" s="10"/>
      <c r="M9" s="10"/>
      <c r="N9" s="10"/>
      <c r="O9" s="43">
        <f t="shared" si="0"/>
        <v>30</v>
      </c>
    </row>
    <row r="10" spans="1:15" ht="17" thickBot="1" x14ac:dyDescent="0.25">
      <c r="A10" s="20" t="s">
        <v>27</v>
      </c>
      <c r="B10" s="15"/>
      <c r="C10" s="7"/>
      <c r="D10" s="19" t="s">
        <v>28</v>
      </c>
      <c r="E10" s="19" t="s">
        <v>28</v>
      </c>
      <c r="F10" s="19" t="s">
        <v>28</v>
      </c>
      <c r="J10" s="7"/>
      <c r="K10" s="21">
        <v>20</v>
      </c>
      <c r="L10" s="21">
        <v>20</v>
      </c>
      <c r="M10" s="21">
        <v>20</v>
      </c>
      <c r="N10" s="21">
        <v>20</v>
      </c>
      <c r="O10" s="43">
        <f>SUM(C10:N10)</f>
        <v>80</v>
      </c>
    </row>
    <row r="11" spans="1:15" x14ac:dyDescent="0.2">
      <c r="A11" s="2" t="s">
        <v>29</v>
      </c>
      <c r="B11" s="15"/>
      <c r="C11" s="10"/>
      <c r="D11" s="10"/>
      <c r="E11" s="10"/>
      <c r="F11" s="10"/>
      <c r="G11" s="9"/>
      <c r="H11" s="10"/>
      <c r="I11" s="10"/>
      <c r="J11" s="10"/>
      <c r="K11" s="9"/>
      <c r="L11" s="10"/>
      <c r="M11" s="10"/>
      <c r="N11" s="10"/>
      <c r="O11" s="43">
        <f t="shared" si="0"/>
        <v>0</v>
      </c>
    </row>
    <row r="12" spans="1:15" x14ac:dyDescent="0.2">
      <c r="A12" s="5" t="s">
        <v>18</v>
      </c>
      <c r="B12" s="15"/>
      <c r="C12" s="7"/>
      <c r="D12" s="7"/>
      <c r="E12" s="7"/>
      <c r="F12" s="7"/>
      <c r="G12" s="6"/>
      <c r="H12" s="7"/>
      <c r="I12" s="7"/>
      <c r="J12" s="7"/>
      <c r="K12" s="6"/>
      <c r="L12" s="7"/>
      <c r="M12" s="7"/>
      <c r="N12" s="7"/>
      <c r="O12" s="43">
        <f t="shared" si="0"/>
        <v>0</v>
      </c>
    </row>
    <row r="13" spans="1:15" x14ac:dyDescent="0.2">
      <c r="A13" s="8" t="s">
        <v>22</v>
      </c>
      <c r="B13" s="15"/>
      <c r="C13" s="10"/>
      <c r="D13" s="10"/>
      <c r="E13" s="10"/>
      <c r="F13" s="10"/>
      <c r="G13" s="9"/>
      <c r="H13" s="10"/>
      <c r="I13" s="10"/>
      <c r="J13" s="10"/>
      <c r="K13" s="9"/>
      <c r="L13" s="10"/>
      <c r="M13" s="10"/>
      <c r="N13" s="10"/>
      <c r="O13" s="43">
        <f t="shared" si="0"/>
        <v>0</v>
      </c>
    </row>
    <row r="14" spans="1:15" x14ac:dyDescent="0.2">
      <c r="A14" s="5" t="s">
        <v>25</v>
      </c>
      <c r="B14" s="15"/>
      <c r="C14" s="7"/>
      <c r="D14" s="7"/>
      <c r="E14" s="7"/>
      <c r="F14" s="7"/>
      <c r="G14" s="6"/>
      <c r="H14" s="7"/>
      <c r="I14" s="7"/>
      <c r="J14" s="7"/>
      <c r="K14" s="6"/>
      <c r="L14" s="7"/>
      <c r="M14" s="7"/>
      <c r="N14" s="7"/>
      <c r="O14" s="43">
        <f t="shared" si="0"/>
        <v>0</v>
      </c>
    </row>
    <row r="15" spans="1:15" x14ac:dyDescent="0.2">
      <c r="A15" s="29" t="s">
        <v>30</v>
      </c>
      <c r="B15" s="15"/>
      <c r="C15" s="10"/>
      <c r="D15" s="10"/>
      <c r="E15" s="10"/>
      <c r="F15" s="10"/>
      <c r="J15">
        <v>2</v>
      </c>
      <c r="K15" s="30">
        <v>10</v>
      </c>
      <c r="L15" s="30" t="s">
        <v>28</v>
      </c>
      <c r="M15" s="30">
        <v>10</v>
      </c>
      <c r="N15" s="30" t="s">
        <v>28</v>
      </c>
      <c r="O15" s="43">
        <f>SUM(C15:N15)</f>
        <v>22</v>
      </c>
    </row>
    <row r="16" spans="1:15" x14ac:dyDescent="0.2">
      <c r="A16" s="22" t="s">
        <v>31</v>
      </c>
      <c r="B16" s="15">
        <v>10</v>
      </c>
      <c r="C16" s="41"/>
      <c r="E16" s="34"/>
      <c r="F16" s="19"/>
      <c r="G16" s="18">
        <v>2</v>
      </c>
      <c r="H16" s="18">
        <v>2</v>
      </c>
      <c r="I16" s="18">
        <v>2</v>
      </c>
      <c r="J16" s="18">
        <v>2</v>
      </c>
      <c r="K16" s="6"/>
      <c r="L16" s="7"/>
      <c r="M16" s="7"/>
      <c r="N16" s="7"/>
      <c r="O16" s="43">
        <f t="shared" si="0"/>
        <v>8</v>
      </c>
    </row>
    <row r="17" spans="1:15" x14ac:dyDescent="0.2">
      <c r="A17" s="35" t="s">
        <v>32</v>
      </c>
      <c r="B17" s="15"/>
      <c r="C17" s="40"/>
      <c r="E17" s="19"/>
      <c r="F17" s="19"/>
      <c r="G17" s="36">
        <v>10</v>
      </c>
      <c r="H17" s="36">
        <v>10</v>
      </c>
      <c r="I17" s="36">
        <v>10</v>
      </c>
      <c r="J17" s="36">
        <v>10</v>
      </c>
      <c r="K17" s="6"/>
      <c r="L17" s="7"/>
      <c r="M17" s="7"/>
      <c r="N17" s="7"/>
      <c r="O17" s="43">
        <f t="shared" si="0"/>
        <v>40</v>
      </c>
    </row>
    <row r="18" spans="1:15" x14ac:dyDescent="0.2">
      <c r="A18" s="44" t="s">
        <v>33</v>
      </c>
      <c r="B18" s="15"/>
      <c r="C18" s="40"/>
      <c r="E18" s="19"/>
      <c r="F18" s="19"/>
      <c r="G18" s="34"/>
      <c r="H18" s="34"/>
      <c r="I18" s="34"/>
      <c r="J18" s="34"/>
      <c r="K18" s="45">
        <v>20</v>
      </c>
      <c r="L18" s="46">
        <v>20</v>
      </c>
      <c r="M18" s="46">
        <v>20</v>
      </c>
      <c r="N18" s="46">
        <v>20</v>
      </c>
      <c r="O18" s="43">
        <f t="shared" si="0"/>
        <v>80</v>
      </c>
    </row>
    <row r="19" spans="1:15" ht="17" thickBot="1" x14ac:dyDescent="0.25">
      <c r="A19" s="31" t="s">
        <v>34</v>
      </c>
      <c r="B19" s="15"/>
      <c r="C19" s="7"/>
      <c r="D19" s="32">
        <v>10</v>
      </c>
      <c r="E19" s="33">
        <v>10</v>
      </c>
      <c r="F19" s="33">
        <v>10</v>
      </c>
      <c r="G19" s="34"/>
      <c r="H19" s="19"/>
      <c r="I19" s="19"/>
      <c r="J19" s="19"/>
      <c r="K19" s="6"/>
      <c r="L19" s="7"/>
      <c r="M19" s="7"/>
      <c r="N19" s="7"/>
      <c r="O19" s="43">
        <f t="shared" si="0"/>
        <v>30</v>
      </c>
    </row>
    <row r="20" spans="1:15" x14ac:dyDescent="0.2">
      <c r="A20" s="2" t="s">
        <v>35</v>
      </c>
      <c r="B20" s="15"/>
      <c r="C20" s="10"/>
      <c r="D20" s="10"/>
      <c r="E20" s="10"/>
      <c r="F20" s="10"/>
      <c r="G20" s="9"/>
      <c r="H20" s="10"/>
      <c r="I20" s="10"/>
      <c r="J20" s="10"/>
      <c r="K20" s="9"/>
      <c r="L20" s="10"/>
      <c r="M20" s="10"/>
      <c r="N20" s="10"/>
      <c r="O20" s="43">
        <f t="shared" si="0"/>
        <v>0</v>
      </c>
    </row>
    <row r="21" spans="1:15" x14ac:dyDescent="0.2">
      <c r="A21" s="5" t="s">
        <v>18</v>
      </c>
      <c r="B21" s="15"/>
      <c r="C21" s="7"/>
      <c r="D21" s="7"/>
      <c r="E21" s="7"/>
      <c r="F21" s="7"/>
      <c r="G21" s="6"/>
      <c r="H21" s="7"/>
      <c r="I21" s="7"/>
      <c r="J21" s="7"/>
      <c r="K21" s="6"/>
      <c r="L21" s="7"/>
      <c r="M21" s="7"/>
      <c r="N21" s="7"/>
      <c r="O21" s="43">
        <f t="shared" si="0"/>
        <v>0</v>
      </c>
    </row>
    <row r="22" spans="1:15" x14ac:dyDescent="0.2">
      <c r="A22" s="8" t="s">
        <v>22</v>
      </c>
      <c r="B22" s="15"/>
      <c r="C22" s="10"/>
      <c r="D22" s="10"/>
      <c r="E22" s="10"/>
      <c r="F22" s="10"/>
      <c r="G22" s="9"/>
      <c r="H22" s="10"/>
      <c r="I22" s="10"/>
      <c r="J22" s="10"/>
      <c r="K22" s="9"/>
      <c r="L22" s="10"/>
      <c r="M22" s="10"/>
      <c r="N22" s="10"/>
      <c r="O22" s="43">
        <f t="shared" si="0"/>
        <v>0</v>
      </c>
    </row>
    <row r="23" spans="1:15" x14ac:dyDescent="0.2">
      <c r="A23" s="5" t="s">
        <v>25</v>
      </c>
      <c r="B23" s="15"/>
      <c r="C23" s="7"/>
      <c r="D23" s="7"/>
      <c r="E23" s="7"/>
      <c r="F23" s="7"/>
      <c r="G23" s="6"/>
      <c r="H23" s="7"/>
      <c r="I23" s="7"/>
      <c r="J23" s="7"/>
      <c r="K23" s="6"/>
      <c r="L23" s="7"/>
      <c r="M23" s="7"/>
      <c r="N23" s="7"/>
      <c r="O23" s="43">
        <f t="shared" si="0"/>
        <v>0</v>
      </c>
    </row>
    <row r="24" spans="1:15" x14ac:dyDescent="0.2">
      <c r="A24" s="8" t="s">
        <v>36</v>
      </c>
      <c r="B24" s="15"/>
      <c r="C24" s="10"/>
      <c r="D24" s="10"/>
      <c r="E24" s="10"/>
      <c r="F24" s="10"/>
      <c r="G24" s="9"/>
      <c r="H24" s="10"/>
      <c r="I24" s="10"/>
      <c r="J24" s="10"/>
      <c r="K24" s="9"/>
      <c r="L24" s="10"/>
      <c r="M24" s="10"/>
      <c r="N24" s="10"/>
      <c r="O24" s="43">
        <f t="shared" si="0"/>
        <v>0</v>
      </c>
    </row>
    <row r="25" spans="1:15" ht="17" thickBot="1" x14ac:dyDescent="0.25">
      <c r="A25" s="8" t="s">
        <v>37</v>
      </c>
      <c r="B25" s="15"/>
      <c r="C25" s="7"/>
      <c r="D25" s="7"/>
      <c r="E25" s="7"/>
      <c r="F25" s="7"/>
      <c r="G25" s="6"/>
      <c r="H25" s="7"/>
      <c r="I25" s="7"/>
      <c r="J25" s="7"/>
      <c r="K25" s="6"/>
      <c r="L25" s="7"/>
      <c r="M25" s="7"/>
      <c r="N25" s="7"/>
      <c r="O25" s="43">
        <f t="shared" si="0"/>
        <v>0</v>
      </c>
    </row>
    <row r="26" spans="1:15" x14ac:dyDescent="0.2">
      <c r="A26" s="2" t="s">
        <v>38</v>
      </c>
      <c r="B26" s="15"/>
      <c r="C26" s="10">
        <v>2</v>
      </c>
      <c r="D26" s="10"/>
      <c r="E26" s="10"/>
      <c r="F26" s="10"/>
      <c r="G26" s="9">
        <v>2</v>
      </c>
      <c r="H26" s="10"/>
      <c r="I26" s="10"/>
      <c r="J26" s="10"/>
      <c r="K26" s="9">
        <v>2</v>
      </c>
      <c r="L26" s="10"/>
      <c r="M26" s="10"/>
      <c r="N26" s="10"/>
      <c r="O26" s="43">
        <f t="shared" si="0"/>
        <v>6</v>
      </c>
    </row>
    <row r="27" spans="1:15" ht="17" thickBot="1" x14ac:dyDescent="0.25">
      <c r="A27" s="5" t="s">
        <v>18</v>
      </c>
      <c r="B27" s="16"/>
      <c r="C27" s="12"/>
      <c r="D27" s="12"/>
      <c r="E27" s="12"/>
      <c r="F27" s="12"/>
      <c r="G27" s="11"/>
      <c r="H27" s="12"/>
      <c r="I27" s="12"/>
      <c r="J27" s="12"/>
      <c r="K27" s="11"/>
      <c r="L27" s="12"/>
      <c r="M27" s="12"/>
      <c r="N27" s="12"/>
      <c r="O27" s="43"/>
    </row>
    <row r="28" spans="1:15" x14ac:dyDescent="0.2">
      <c r="A28" s="8" t="s">
        <v>22</v>
      </c>
      <c r="B28" s="17"/>
    </row>
    <row r="29" spans="1:15" x14ac:dyDescent="0.2">
      <c r="A29" s="5" t="s">
        <v>25</v>
      </c>
      <c r="B29" s="17"/>
    </row>
    <row r="30" spans="1:15" x14ac:dyDescent="0.2">
      <c r="A30" s="8" t="s">
        <v>36</v>
      </c>
      <c r="B30" s="17"/>
    </row>
    <row r="31" spans="1:15" x14ac:dyDescent="0.2">
      <c r="B31" s="17"/>
    </row>
    <row r="32" spans="1:15" x14ac:dyDescent="0.2">
      <c r="A32" t="s">
        <v>39</v>
      </c>
      <c r="B32" t="s">
        <v>40</v>
      </c>
    </row>
    <row r="33" spans="1:13" x14ac:dyDescent="0.2">
      <c r="A33" s="23" t="s">
        <v>23</v>
      </c>
      <c r="C33">
        <f>O6*30</f>
        <v>14400</v>
      </c>
      <c r="J33" s="39" t="s">
        <v>41</v>
      </c>
      <c r="K33" s="39"/>
      <c r="L33" s="39"/>
      <c r="M33" s="39"/>
    </row>
    <row r="34" spans="1:13" x14ac:dyDescent="0.2">
      <c r="A34" s="26" t="s">
        <v>24</v>
      </c>
      <c r="C34">
        <f>O7*25</f>
        <v>12000</v>
      </c>
      <c r="J34" s="39">
        <v>10</v>
      </c>
      <c r="K34" s="39" t="s">
        <v>42</v>
      </c>
      <c r="L34" s="39" t="s">
        <v>43</v>
      </c>
      <c r="M34" s="39"/>
    </row>
    <row r="35" spans="1:13" x14ac:dyDescent="0.2">
      <c r="A35" s="28" t="s">
        <v>44</v>
      </c>
      <c r="B35">
        <v>150</v>
      </c>
      <c r="C35">
        <f>B35*O9</f>
        <v>4500</v>
      </c>
      <c r="J35" s="39">
        <v>20</v>
      </c>
      <c r="K35" s="39" t="s">
        <v>45</v>
      </c>
      <c r="L35" s="39" t="s">
        <v>46</v>
      </c>
      <c r="M35" s="39"/>
    </row>
    <row r="36" spans="1:13" x14ac:dyDescent="0.2">
      <c r="A36" s="20" t="s">
        <v>27</v>
      </c>
      <c r="B36">
        <v>120</v>
      </c>
      <c r="C36">
        <f>B36*O10</f>
        <v>9600</v>
      </c>
    </row>
    <row r="37" spans="1:13" x14ac:dyDescent="0.2">
      <c r="A37" s="22" t="s">
        <v>31</v>
      </c>
      <c r="B37">
        <v>120</v>
      </c>
      <c r="C37">
        <f>B37*O16</f>
        <v>960</v>
      </c>
    </row>
    <row r="38" spans="1:13" x14ac:dyDescent="0.2">
      <c r="A38" s="29" t="s">
        <v>30</v>
      </c>
      <c r="B38">
        <v>200</v>
      </c>
      <c r="C38">
        <f>B38*O15</f>
        <v>4400</v>
      </c>
    </row>
    <row r="39" spans="1:13" x14ac:dyDescent="0.2">
      <c r="A39" s="31" t="s">
        <v>34</v>
      </c>
      <c r="B39">
        <v>90</v>
      </c>
      <c r="C39">
        <f>B39*O19</f>
        <v>2700</v>
      </c>
    </row>
    <row r="40" spans="1:13" x14ac:dyDescent="0.2">
      <c r="A40" t="s">
        <v>47</v>
      </c>
    </row>
    <row r="41" spans="1:13" x14ac:dyDescent="0.2">
      <c r="A41" s="35" t="s">
        <v>32</v>
      </c>
      <c r="B41">
        <v>40</v>
      </c>
      <c r="C41">
        <f>B41*O17</f>
        <v>1600</v>
      </c>
    </row>
    <row r="42" spans="1:13" x14ac:dyDescent="0.2">
      <c r="A42" t="s">
        <v>33</v>
      </c>
      <c r="B42">
        <v>40</v>
      </c>
      <c r="C42">
        <f>B42*O18</f>
        <v>3200</v>
      </c>
    </row>
    <row r="43" spans="1:13" x14ac:dyDescent="0.2">
      <c r="A43" t="s">
        <v>38</v>
      </c>
      <c r="B43">
        <v>150</v>
      </c>
      <c r="C43">
        <f>B43*O26</f>
        <v>900</v>
      </c>
    </row>
    <row r="44" spans="1:13" x14ac:dyDescent="0.2">
      <c r="C44">
        <f>SUM(C33:C43)</f>
        <v>54260</v>
      </c>
    </row>
    <row r="45" spans="1:13" x14ac:dyDescent="0.2">
      <c r="A45" t="s">
        <v>48</v>
      </c>
      <c r="C45">
        <v>56336</v>
      </c>
    </row>
    <row r="46" spans="1:13" x14ac:dyDescent="0.2">
      <c r="A46" t="s">
        <v>49</v>
      </c>
      <c r="C46">
        <f>C45-C44</f>
        <v>2076</v>
      </c>
    </row>
  </sheetData>
  <mergeCells count="6">
    <mergeCell ref="B1:F1"/>
    <mergeCell ref="G1:J1"/>
    <mergeCell ref="K1:O1"/>
    <mergeCell ref="C4:F4"/>
    <mergeCell ref="G4:J4"/>
    <mergeCell ref="K4:N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0E7A6-3C8F-F046-B208-92F9F69AEA04}">
  <dimension ref="A1:V181"/>
  <sheetViews>
    <sheetView zoomScale="247" zoomScaleNormal="247" workbookViewId="0">
      <pane xSplit="1" ySplit="3" topLeftCell="F4" activePane="bottomRight" state="frozen"/>
      <selection pane="topRight" activeCell="B1" sqref="B1"/>
      <selection pane="bottomLeft" activeCell="A4" sqref="A4"/>
      <selection pane="bottomRight" activeCell="J7" sqref="J7"/>
    </sheetView>
  </sheetViews>
  <sheetFormatPr baseColWidth="10" defaultColWidth="11" defaultRowHeight="16" x14ac:dyDescent="0.2"/>
  <cols>
    <col min="1" max="1" width="22.33203125" bestFit="1" customWidth="1"/>
    <col min="2" max="2" width="48.83203125" bestFit="1" customWidth="1"/>
    <col min="3" max="5" width="255.83203125" bestFit="1" customWidth="1"/>
    <col min="6" max="6" width="18.83203125" bestFit="1" customWidth="1"/>
    <col min="7" max="7" width="12.83203125" bestFit="1" customWidth="1"/>
    <col min="8" max="8" width="12.33203125" bestFit="1" customWidth="1"/>
    <col min="9" max="9" width="16.83203125" bestFit="1" customWidth="1"/>
    <col min="10" max="10" width="21.5" bestFit="1" customWidth="1"/>
    <col min="11" max="11" width="13.6640625" style="47" bestFit="1" customWidth="1"/>
    <col min="12" max="12" width="13.83203125" style="48" bestFit="1" customWidth="1"/>
    <col min="13" max="13" width="18.6640625" bestFit="1" customWidth="1"/>
    <col min="14" max="14" width="14.5" bestFit="1" customWidth="1"/>
    <col min="15" max="15" width="17.33203125" style="47" bestFit="1" customWidth="1"/>
    <col min="16" max="16" width="17.1640625" style="48" bestFit="1" customWidth="1"/>
    <col min="17" max="17" width="20.33203125" bestFit="1" customWidth="1"/>
    <col min="18" max="18" width="19.33203125" bestFit="1" customWidth="1"/>
    <col min="19" max="19" width="11.83203125" style="47" bestFit="1" customWidth="1"/>
    <col min="20" max="20" width="19.1640625" style="48" bestFit="1" customWidth="1"/>
    <col min="21" max="21" width="14.1640625" bestFit="1" customWidth="1"/>
    <col min="22" max="22" width="7.6640625" bestFit="1" customWidth="1"/>
  </cols>
  <sheetData>
    <row r="1" spans="1:22" ht="25" customHeight="1" x14ac:dyDescent="0.2">
      <c r="A1" s="49"/>
      <c r="B1" s="122" t="s">
        <v>50</v>
      </c>
      <c r="C1" s="122"/>
      <c r="D1" s="122"/>
      <c r="E1" s="122"/>
      <c r="F1" s="118" t="s">
        <v>51</v>
      </c>
      <c r="G1" s="118"/>
      <c r="H1" s="118"/>
      <c r="I1" s="123"/>
      <c r="J1" s="127" t="s">
        <v>52</v>
      </c>
      <c r="K1" s="128"/>
      <c r="L1" s="128"/>
      <c r="M1" s="129"/>
      <c r="N1" s="121" t="s">
        <v>53</v>
      </c>
      <c r="O1" s="118"/>
      <c r="P1" s="118"/>
      <c r="Q1" s="118"/>
      <c r="R1" s="118" t="s">
        <v>54</v>
      </c>
      <c r="S1" s="118"/>
      <c r="T1" s="118"/>
      <c r="U1" s="118"/>
      <c r="V1" s="50"/>
    </row>
    <row r="2" spans="1:22" ht="22" customHeight="1" x14ac:dyDescent="0.2">
      <c r="A2" s="51"/>
      <c r="B2" s="122" t="s">
        <v>55</v>
      </c>
      <c r="C2" s="122"/>
      <c r="D2" s="122" t="s">
        <v>56</v>
      </c>
      <c r="E2" s="122"/>
      <c r="F2" s="118" t="s">
        <v>55</v>
      </c>
      <c r="G2" s="118"/>
      <c r="H2" s="118" t="s">
        <v>56</v>
      </c>
      <c r="I2" s="123"/>
      <c r="J2" s="124" t="s">
        <v>55</v>
      </c>
      <c r="K2" s="125"/>
      <c r="L2" s="125" t="s">
        <v>56</v>
      </c>
      <c r="M2" s="126"/>
      <c r="N2" s="121" t="s">
        <v>55</v>
      </c>
      <c r="O2" s="118"/>
      <c r="P2" s="118" t="s">
        <v>56</v>
      </c>
      <c r="Q2" s="118"/>
      <c r="R2" s="118" t="s">
        <v>55</v>
      </c>
      <c r="S2" s="118"/>
      <c r="T2" s="118" t="s">
        <v>56</v>
      </c>
      <c r="U2" s="118"/>
      <c r="V2" s="50"/>
    </row>
    <row r="3" spans="1:22" x14ac:dyDescent="0.2">
      <c r="A3" s="52" t="s">
        <v>3</v>
      </c>
      <c r="B3" s="74" t="s">
        <v>57</v>
      </c>
      <c r="C3" s="74" t="s">
        <v>58</v>
      </c>
      <c r="D3" s="74" t="s">
        <v>57</v>
      </c>
      <c r="E3" s="74" t="s">
        <v>58</v>
      </c>
      <c r="F3" s="53" t="s">
        <v>57</v>
      </c>
      <c r="G3" s="53" t="s">
        <v>58</v>
      </c>
      <c r="H3" s="53" t="s">
        <v>57</v>
      </c>
      <c r="I3" s="75" t="s">
        <v>58</v>
      </c>
      <c r="J3" s="95" t="s">
        <v>57</v>
      </c>
      <c r="K3" s="96" t="s">
        <v>58</v>
      </c>
      <c r="L3" s="96" t="s">
        <v>57</v>
      </c>
      <c r="M3" s="97" t="s">
        <v>58</v>
      </c>
      <c r="N3" s="82" t="s">
        <v>57</v>
      </c>
      <c r="O3" s="53" t="s">
        <v>58</v>
      </c>
      <c r="P3" s="53" t="s">
        <v>57</v>
      </c>
      <c r="Q3" s="53" t="s">
        <v>58</v>
      </c>
      <c r="R3" s="53" t="s">
        <v>57</v>
      </c>
      <c r="S3" s="53" t="s">
        <v>58</v>
      </c>
      <c r="T3" s="53" t="s">
        <v>57</v>
      </c>
      <c r="U3" s="53" t="s">
        <v>58</v>
      </c>
      <c r="V3" s="54" t="s">
        <v>59</v>
      </c>
    </row>
    <row r="4" spans="1:22" x14ac:dyDescent="0.2">
      <c r="A4" s="55" t="s">
        <v>17</v>
      </c>
      <c r="B4" s="99" t="s">
        <v>60</v>
      </c>
      <c r="C4" s="99"/>
      <c r="D4" s="99" t="s">
        <v>60</v>
      </c>
      <c r="E4" s="99"/>
      <c r="F4" s="56" t="s">
        <v>60</v>
      </c>
      <c r="G4" s="56"/>
      <c r="H4" s="56" t="s">
        <v>60</v>
      </c>
      <c r="I4" s="76"/>
      <c r="J4" s="90" t="s">
        <v>60</v>
      </c>
      <c r="K4" s="101"/>
      <c r="L4" s="101" t="s">
        <v>60</v>
      </c>
      <c r="M4" s="91"/>
      <c r="N4" s="83" t="s">
        <v>60</v>
      </c>
      <c r="O4" s="56"/>
      <c r="P4" s="56" t="s">
        <v>60</v>
      </c>
      <c r="Q4" s="56"/>
      <c r="R4" s="56" t="s">
        <v>60</v>
      </c>
      <c r="S4" s="56"/>
      <c r="T4" s="56" t="s">
        <v>60</v>
      </c>
      <c r="U4" s="56"/>
      <c r="V4" s="57">
        <f t="shared" ref="V4:V19" si="0">SUM(B4:U4)</f>
        <v>0</v>
      </c>
    </row>
    <row r="5" spans="1:22" x14ac:dyDescent="0.2">
      <c r="A5" s="58" t="s">
        <v>18</v>
      </c>
      <c r="B5" s="99" t="s">
        <v>61</v>
      </c>
      <c r="C5" s="116"/>
      <c r="D5" s="116"/>
      <c r="E5" s="99"/>
      <c r="F5" s="100" t="s">
        <v>62</v>
      </c>
      <c r="G5" s="119"/>
      <c r="H5" s="119"/>
      <c r="I5" s="77"/>
      <c r="J5" s="90" t="s">
        <v>63</v>
      </c>
      <c r="K5" s="120"/>
      <c r="L5" s="120"/>
      <c r="M5" s="91"/>
      <c r="N5" s="84" t="s">
        <v>64</v>
      </c>
      <c r="O5" s="119"/>
      <c r="P5" s="119"/>
      <c r="Q5" s="100"/>
      <c r="R5" s="100" t="s">
        <v>65</v>
      </c>
      <c r="S5" s="100"/>
      <c r="T5" s="100" t="s">
        <v>65</v>
      </c>
      <c r="U5" s="100"/>
      <c r="V5" s="57">
        <f t="shared" si="0"/>
        <v>0</v>
      </c>
    </row>
    <row r="6" spans="1:22" x14ac:dyDescent="0.2">
      <c r="A6" s="59" t="s">
        <v>22</v>
      </c>
      <c r="B6" s="99" t="s">
        <v>66</v>
      </c>
      <c r="C6" s="99"/>
      <c r="D6" s="99" t="s">
        <v>66</v>
      </c>
      <c r="E6" s="99"/>
      <c r="F6" s="56" t="s">
        <v>66</v>
      </c>
      <c r="G6" s="56"/>
      <c r="H6" s="56" t="s">
        <v>66</v>
      </c>
      <c r="I6" s="76"/>
      <c r="J6" s="90" t="s">
        <v>66</v>
      </c>
      <c r="K6" s="101"/>
      <c r="L6" s="101" t="s">
        <v>66</v>
      </c>
      <c r="M6" s="91"/>
      <c r="N6" s="83" t="s">
        <v>66</v>
      </c>
      <c r="O6" s="56"/>
      <c r="P6" s="56" t="s">
        <v>66</v>
      </c>
      <c r="Q6" s="56"/>
      <c r="R6" s="56" t="s">
        <v>66</v>
      </c>
      <c r="S6" s="56"/>
      <c r="T6" s="56" t="s">
        <v>66</v>
      </c>
      <c r="U6" s="56"/>
      <c r="V6" s="57">
        <f t="shared" si="0"/>
        <v>0</v>
      </c>
    </row>
    <row r="7" spans="1:22" x14ac:dyDescent="0.2">
      <c r="A7" s="60" t="s">
        <v>23</v>
      </c>
      <c r="B7" s="99" t="s">
        <v>67</v>
      </c>
      <c r="C7" s="99" t="s">
        <v>68</v>
      </c>
      <c r="D7" s="99" t="s">
        <v>69</v>
      </c>
      <c r="E7" s="99" t="s">
        <v>70</v>
      </c>
      <c r="F7" s="61" t="s">
        <v>67</v>
      </c>
      <c r="G7" s="61" t="s">
        <v>71</v>
      </c>
      <c r="H7" s="61" t="s">
        <v>72</v>
      </c>
      <c r="I7" s="78" t="s">
        <v>73</v>
      </c>
      <c r="J7" s="90" t="s">
        <v>67</v>
      </c>
      <c r="K7" s="101" t="s">
        <v>69</v>
      </c>
      <c r="L7" s="101" t="s">
        <v>74</v>
      </c>
      <c r="M7" s="91" t="s">
        <v>75</v>
      </c>
      <c r="N7" s="85" t="s">
        <v>67</v>
      </c>
      <c r="O7" s="61" t="s">
        <v>76</v>
      </c>
      <c r="P7" s="61" t="s">
        <v>77</v>
      </c>
      <c r="Q7" s="61" t="s">
        <v>78</v>
      </c>
      <c r="R7" s="61" t="s">
        <v>67</v>
      </c>
      <c r="S7" s="61" t="s">
        <v>79</v>
      </c>
      <c r="T7" s="61" t="s">
        <v>80</v>
      </c>
      <c r="U7" s="61" t="s">
        <v>81</v>
      </c>
      <c r="V7" s="57">
        <f t="shared" si="0"/>
        <v>0</v>
      </c>
    </row>
    <row r="8" spans="1:22" x14ac:dyDescent="0.2">
      <c r="A8" s="62" t="s">
        <v>24</v>
      </c>
      <c r="B8" s="99" t="s">
        <v>67</v>
      </c>
      <c r="C8" s="99" t="s">
        <v>68</v>
      </c>
      <c r="D8" s="99" t="s">
        <v>82</v>
      </c>
      <c r="E8" s="99" t="s">
        <v>83</v>
      </c>
      <c r="F8" s="63" t="s">
        <v>67</v>
      </c>
      <c r="G8" s="63" t="s">
        <v>84</v>
      </c>
      <c r="H8" s="63" t="s">
        <v>85</v>
      </c>
      <c r="I8" s="79" t="s">
        <v>86</v>
      </c>
      <c r="J8" s="90" t="s">
        <v>67</v>
      </c>
      <c r="K8" s="101" t="s">
        <v>70</v>
      </c>
      <c r="L8" s="101" t="s">
        <v>82</v>
      </c>
      <c r="M8" s="91" t="s">
        <v>87</v>
      </c>
      <c r="N8" s="86" t="s">
        <v>67</v>
      </c>
      <c r="O8" s="63" t="s">
        <v>88</v>
      </c>
      <c r="P8" s="63" t="s">
        <v>89</v>
      </c>
      <c r="Q8" s="63" t="s">
        <v>90</v>
      </c>
      <c r="R8" s="63" t="s">
        <v>67</v>
      </c>
      <c r="S8" s="63" t="s">
        <v>91</v>
      </c>
      <c r="T8" s="63" t="s">
        <v>92</v>
      </c>
      <c r="U8" s="63" t="s">
        <v>93</v>
      </c>
      <c r="V8" s="57">
        <f t="shared" si="0"/>
        <v>0</v>
      </c>
    </row>
    <row r="9" spans="1:22" x14ac:dyDescent="0.2">
      <c r="A9" s="58" t="s">
        <v>25</v>
      </c>
      <c r="B9" s="99"/>
      <c r="C9" s="99"/>
      <c r="D9" s="99"/>
      <c r="E9" s="99"/>
      <c r="F9" s="100"/>
      <c r="G9" s="100"/>
      <c r="H9" s="100"/>
      <c r="I9" s="77"/>
      <c r="J9" s="90" t="s">
        <v>94</v>
      </c>
      <c r="K9" s="101"/>
      <c r="L9" s="101"/>
      <c r="M9" s="91" t="s">
        <v>94</v>
      </c>
      <c r="N9" s="84" t="s">
        <v>94</v>
      </c>
      <c r="O9" s="100"/>
      <c r="P9" s="100"/>
      <c r="Q9" s="100" t="s">
        <v>94</v>
      </c>
      <c r="R9" s="100" t="s">
        <v>94</v>
      </c>
      <c r="S9" s="100"/>
      <c r="T9" s="100"/>
      <c r="U9" s="100" t="s">
        <v>94</v>
      </c>
      <c r="V9" s="57">
        <f t="shared" si="0"/>
        <v>0</v>
      </c>
    </row>
    <row r="10" spans="1:22" x14ac:dyDescent="0.2">
      <c r="A10" s="64" t="s">
        <v>26</v>
      </c>
      <c r="B10" s="99"/>
      <c r="C10" s="116"/>
      <c r="D10" s="116"/>
      <c r="E10" s="99"/>
      <c r="F10" s="65" t="s">
        <v>95</v>
      </c>
      <c r="G10" s="66" t="s">
        <v>96</v>
      </c>
      <c r="H10" s="66"/>
      <c r="I10" s="80"/>
      <c r="J10" s="90" t="s">
        <v>94</v>
      </c>
      <c r="K10" s="117" t="s">
        <v>97</v>
      </c>
      <c r="L10" s="117"/>
      <c r="M10" s="91" t="s">
        <v>98</v>
      </c>
      <c r="N10" s="87" t="s">
        <v>94</v>
      </c>
      <c r="O10" s="117" t="s">
        <v>99</v>
      </c>
      <c r="P10" s="117"/>
      <c r="Q10" s="65" t="s">
        <v>100</v>
      </c>
      <c r="R10" s="65" t="s">
        <v>94</v>
      </c>
      <c r="S10" s="117" t="s">
        <v>101</v>
      </c>
      <c r="T10" s="117"/>
      <c r="U10" s="65" t="s">
        <v>102</v>
      </c>
      <c r="V10" s="57">
        <f t="shared" si="0"/>
        <v>0</v>
      </c>
    </row>
    <row r="11" spans="1:22" x14ac:dyDescent="0.2">
      <c r="A11" s="67" t="s">
        <v>27</v>
      </c>
      <c r="B11" s="99"/>
      <c r="C11" s="99"/>
      <c r="D11" s="99"/>
      <c r="E11" s="99"/>
      <c r="F11" s="68"/>
      <c r="G11" s="68"/>
      <c r="H11" s="68"/>
      <c r="I11" s="81"/>
      <c r="J11" s="90"/>
      <c r="K11" s="101"/>
      <c r="L11" s="101"/>
      <c r="M11" s="91"/>
      <c r="N11" s="88"/>
      <c r="O11" s="68"/>
      <c r="P11" s="68"/>
      <c r="Q11" s="68"/>
      <c r="R11" s="68"/>
      <c r="S11" s="68"/>
      <c r="T11" s="68"/>
      <c r="U11" s="68"/>
      <c r="V11" s="57">
        <f t="shared" si="0"/>
        <v>0</v>
      </c>
    </row>
    <row r="12" spans="1:22" x14ac:dyDescent="0.2">
      <c r="A12" s="55" t="s">
        <v>29</v>
      </c>
      <c r="B12" s="99" t="s">
        <v>103</v>
      </c>
      <c r="C12" s="99"/>
      <c r="D12" s="99" t="s">
        <v>103</v>
      </c>
      <c r="E12" s="99"/>
      <c r="F12" s="56" t="s">
        <v>103</v>
      </c>
      <c r="G12" s="56"/>
      <c r="H12" s="56" t="s">
        <v>103</v>
      </c>
      <c r="I12" s="76"/>
      <c r="J12" s="90" t="s">
        <v>103</v>
      </c>
      <c r="K12" s="101"/>
      <c r="L12" s="101" t="s">
        <v>103</v>
      </c>
      <c r="M12" s="91"/>
      <c r="N12" s="83" t="s">
        <v>103</v>
      </c>
      <c r="O12" s="56"/>
      <c r="P12" s="56" t="s">
        <v>103</v>
      </c>
      <c r="Q12" s="56"/>
      <c r="R12" s="56" t="s">
        <v>103</v>
      </c>
      <c r="S12" s="56"/>
      <c r="T12" s="56" t="s">
        <v>103</v>
      </c>
      <c r="U12" s="56"/>
      <c r="V12" s="57">
        <f t="shared" si="0"/>
        <v>0</v>
      </c>
    </row>
    <row r="13" spans="1:22" x14ac:dyDescent="0.2">
      <c r="A13" s="58" t="s">
        <v>18</v>
      </c>
      <c r="B13" s="99" t="s">
        <v>61</v>
      </c>
      <c r="C13" s="99"/>
      <c r="D13" s="99" t="s">
        <v>61</v>
      </c>
      <c r="E13" s="99"/>
      <c r="F13" s="100" t="s">
        <v>104</v>
      </c>
      <c r="G13" s="100"/>
      <c r="H13" s="100" t="s">
        <v>104</v>
      </c>
      <c r="I13" s="77"/>
      <c r="J13" s="90" t="s">
        <v>63</v>
      </c>
      <c r="K13" s="101"/>
      <c r="L13" s="101" t="s">
        <v>63</v>
      </c>
      <c r="M13" s="91"/>
      <c r="N13" s="84" t="s">
        <v>64</v>
      </c>
      <c r="O13" s="100"/>
      <c r="P13" s="100" t="s">
        <v>64</v>
      </c>
      <c r="Q13" s="100"/>
      <c r="R13" s="100" t="s">
        <v>65</v>
      </c>
      <c r="S13" s="100"/>
      <c r="T13" s="100" t="s">
        <v>65</v>
      </c>
      <c r="U13" s="100"/>
      <c r="V13" s="57">
        <f t="shared" si="0"/>
        <v>0</v>
      </c>
    </row>
    <row r="14" spans="1:22" x14ac:dyDescent="0.2">
      <c r="A14" s="69" t="s">
        <v>30</v>
      </c>
      <c r="B14" s="99"/>
      <c r="C14" s="99"/>
      <c r="D14" s="99"/>
      <c r="E14" s="99"/>
      <c r="F14" s="65"/>
      <c r="G14" s="65"/>
      <c r="H14" s="65"/>
      <c r="I14" s="80"/>
      <c r="J14" s="90"/>
      <c r="K14" s="101"/>
      <c r="L14" s="101"/>
      <c r="M14" s="91"/>
      <c r="N14" s="87"/>
      <c r="O14" s="65"/>
      <c r="P14" s="65"/>
      <c r="Q14" s="65"/>
      <c r="R14" s="65"/>
      <c r="S14" s="65"/>
      <c r="T14" s="65"/>
      <c r="U14" s="65"/>
      <c r="V14" s="57">
        <f t="shared" si="0"/>
        <v>0</v>
      </c>
    </row>
    <row r="15" spans="1:22" x14ac:dyDescent="0.2">
      <c r="A15" s="70" t="s">
        <v>31</v>
      </c>
      <c r="B15" s="99" t="s">
        <v>105</v>
      </c>
      <c r="C15" s="99" t="s">
        <v>106</v>
      </c>
      <c r="D15" s="99"/>
      <c r="E15" s="99"/>
      <c r="F15" s="65"/>
      <c r="G15" s="65"/>
      <c r="H15" s="65"/>
      <c r="I15" s="80"/>
      <c r="J15" s="90"/>
      <c r="K15" s="101"/>
      <c r="L15" s="101"/>
      <c r="M15" s="91"/>
      <c r="N15" s="87"/>
      <c r="O15" s="65"/>
      <c r="P15" s="65"/>
      <c r="Q15" s="65"/>
      <c r="R15" s="65"/>
      <c r="S15" s="65"/>
      <c r="T15" s="65"/>
      <c r="U15" s="65"/>
      <c r="V15" s="57">
        <f t="shared" si="0"/>
        <v>0</v>
      </c>
    </row>
    <row r="16" spans="1:22" x14ac:dyDescent="0.2">
      <c r="A16" s="71" t="s">
        <v>32</v>
      </c>
      <c r="B16" s="99"/>
      <c r="C16" s="99"/>
      <c r="D16" s="99"/>
      <c r="E16" s="99"/>
      <c r="F16" s="65"/>
      <c r="G16" s="65"/>
      <c r="H16" s="65"/>
      <c r="I16" s="80"/>
      <c r="J16" s="90"/>
      <c r="K16" s="101"/>
      <c r="L16" s="101"/>
      <c r="M16" s="91"/>
      <c r="N16" s="87"/>
      <c r="O16" s="65"/>
      <c r="P16" s="65"/>
      <c r="Q16" s="65"/>
      <c r="R16" s="65"/>
      <c r="S16" s="65"/>
      <c r="T16" s="65"/>
      <c r="U16" s="65"/>
      <c r="V16" s="57">
        <f t="shared" si="0"/>
        <v>0</v>
      </c>
    </row>
    <row r="17" spans="1:22" x14ac:dyDescent="0.2">
      <c r="A17" s="72" t="s">
        <v>34</v>
      </c>
      <c r="B17" s="99"/>
      <c r="C17" s="99"/>
      <c r="D17" s="99" t="s">
        <v>107</v>
      </c>
      <c r="E17" s="99" t="s">
        <v>108</v>
      </c>
      <c r="F17" s="73"/>
      <c r="G17" s="73"/>
      <c r="H17" s="65"/>
      <c r="I17" s="80"/>
      <c r="J17" s="90" t="s">
        <v>109</v>
      </c>
      <c r="K17" s="101" t="s">
        <v>110</v>
      </c>
      <c r="L17" s="101" t="s">
        <v>111</v>
      </c>
      <c r="M17" s="91" t="s">
        <v>112</v>
      </c>
      <c r="N17" s="89"/>
      <c r="O17" s="73"/>
      <c r="P17" s="73"/>
      <c r="Q17" s="73"/>
      <c r="R17" s="73"/>
      <c r="S17" s="73"/>
      <c r="T17" s="73"/>
      <c r="U17" s="73"/>
      <c r="V17" s="57">
        <f t="shared" si="0"/>
        <v>0</v>
      </c>
    </row>
    <row r="18" spans="1:22" x14ac:dyDescent="0.2">
      <c r="A18" s="55" t="s">
        <v>35</v>
      </c>
      <c r="B18" s="99" t="s">
        <v>113</v>
      </c>
      <c r="C18" s="99"/>
      <c r="D18" s="99" t="s">
        <v>113</v>
      </c>
      <c r="E18" s="99"/>
      <c r="F18" s="56" t="s">
        <v>113</v>
      </c>
      <c r="G18" s="56"/>
      <c r="H18" s="56" t="s">
        <v>113</v>
      </c>
      <c r="I18" s="76"/>
      <c r="J18" s="90" t="s">
        <v>113</v>
      </c>
      <c r="K18" s="101"/>
      <c r="L18" s="101" t="s">
        <v>113</v>
      </c>
      <c r="M18" s="91"/>
      <c r="N18" s="83" t="s">
        <v>113</v>
      </c>
      <c r="O18" s="56"/>
      <c r="P18" s="56" t="s">
        <v>113</v>
      </c>
      <c r="Q18" s="56"/>
      <c r="R18" s="56" t="s">
        <v>113</v>
      </c>
      <c r="S18" s="56"/>
      <c r="T18" s="56" t="s">
        <v>113</v>
      </c>
      <c r="U18" s="56"/>
      <c r="V18" s="57">
        <f t="shared" si="0"/>
        <v>0</v>
      </c>
    </row>
    <row r="19" spans="1:22" ht="17" thickBot="1" x14ac:dyDescent="0.25">
      <c r="A19" s="58" t="s">
        <v>18</v>
      </c>
      <c r="B19" s="99" t="s">
        <v>114</v>
      </c>
      <c r="C19" s="99"/>
      <c r="D19" s="99" t="s">
        <v>115</v>
      </c>
      <c r="E19" s="99"/>
      <c r="F19" s="100" t="s">
        <v>116</v>
      </c>
      <c r="G19" s="100"/>
      <c r="H19" s="100" t="s">
        <v>117</v>
      </c>
      <c r="I19" s="77"/>
      <c r="J19" s="92" t="s">
        <v>118</v>
      </c>
      <c r="K19" s="93"/>
      <c r="L19" s="93" t="s">
        <v>119</v>
      </c>
      <c r="M19" s="94"/>
      <c r="N19" s="84" t="s">
        <v>120</v>
      </c>
      <c r="O19" s="100"/>
      <c r="P19" s="100" t="s">
        <v>121</v>
      </c>
      <c r="Q19" s="100"/>
      <c r="R19" s="100" t="s">
        <v>122</v>
      </c>
      <c r="S19" s="100"/>
      <c r="T19" s="100" t="s">
        <v>123</v>
      </c>
      <c r="U19" s="100"/>
      <c r="V19" s="57">
        <f t="shared" si="0"/>
        <v>0</v>
      </c>
    </row>
    <row r="20" spans="1:22" x14ac:dyDescent="0.2">
      <c r="K20"/>
      <c r="L20"/>
      <c r="O20"/>
      <c r="P20"/>
      <c r="S20"/>
      <c r="T20"/>
    </row>
    <row r="21" spans="1:22" x14ac:dyDescent="0.2">
      <c r="K21"/>
      <c r="L21"/>
      <c r="O21"/>
      <c r="P21"/>
      <c r="S21"/>
      <c r="T21"/>
    </row>
    <row r="22" spans="1:22" x14ac:dyDescent="0.2">
      <c r="K22"/>
      <c r="L22"/>
      <c r="O22"/>
      <c r="P22"/>
      <c r="S22"/>
      <c r="T22"/>
    </row>
    <row r="23" spans="1:22" x14ac:dyDescent="0.2">
      <c r="K23"/>
      <c r="L23"/>
      <c r="O23"/>
      <c r="P23"/>
      <c r="S23"/>
      <c r="T23"/>
    </row>
    <row r="24" spans="1:22" x14ac:dyDescent="0.2">
      <c r="H24">
        <v>1</v>
      </c>
      <c r="I24">
        <v>2</v>
      </c>
      <c r="J24">
        <v>3</v>
      </c>
      <c r="K24">
        <v>4</v>
      </c>
      <c r="L24">
        <v>5</v>
      </c>
      <c r="M24">
        <v>6</v>
      </c>
      <c r="N24">
        <v>7</v>
      </c>
      <c r="O24" t="s">
        <v>124</v>
      </c>
      <c r="P24"/>
      <c r="S24"/>
      <c r="T24"/>
    </row>
    <row r="25" spans="1:22" x14ac:dyDescent="0.2">
      <c r="C25" t="s">
        <v>125</v>
      </c>
      <c r="D25" t="s">
        <v>126</v>
      </c>
      <c r="E25" t="s">
        <v>127</v>
      </c>
      <c r="K25"/>
      <c r="L25"/>
      <c r="O25"/>
      <c r="P25"/>
      <c r="S25"/>
      <c r="T25"/>
    </row>
    <row r="26" spans="1:22" x14ac:dyDescent="0.2">
      <c r="B26" s="102" t="s">
        <v>128</v>
      </c>
      <c r="C26" s="103"/>
      <c r="D26" s="103"/>
      <c r="E26" s="103"/>
      <c r="K26"/>
      <c r="L26"/>
      <c r="O26"/>
      <c r="P26"/>
      <c r="S26"/>
      <c r="T26"/>
    </row>
    <row r="27" spans="1:22" x14ac:dyDescent="0.2">
      <c r="B27" s="106" t="s">
        <v>129</v>
      </c>
      <c r="C27" s="106" t="s">
        <v>130</v>
      </c>
      <c r="D27" s="106" t="s">
        <v>131</v>
      </c>
      <c r="E27" s="106" t="s">
        <v>132</v>
      </c>
      <c r="K27"/>
      <c r="L27"/>
      <c r="O27"/>
      <c r="P27"/>
      <c r="S27"/>
      <c r="T27"/>
    </row>
    <row r="28" spans="1:22" x14ac:dyDescent="0.2">
      <c r="B28" s="106" t="s">
        <v>133</v>
      </c>
      <c r="C28" s="106" t="s">
        <v>134</v>
      </c>
      <c r="D28" s="106" t="s">
        <v>135</v>
      </c>
      <c r="E28" s="106" t="s">
        <v>136</v>
      </c>
      <c r="K28"/>
      <c r="L28"/>
      <c r="O28"/>
      <c r="P28"/>
      <c r="S28"/>
      <c r="T28"/>
    </row>
    <row r="29" spans="1:22" ht="34" x14ac:dyDescent="0.2">
      <c r="B29" s="106" t="s">
        <v>137</v>
      </c>
      <c r="C29" s="106" t="s">
        <v>138</v>
      </c>
      <c r="D29" s="107" t="s">
        <v>139</v>
      </c>
      <c r="E29" s="106" t="s">
        <v>140</v>
      </c>
      <c r="K29"/>
      <c r="L29"/>
      <c r="O29"/>
      <c r="P29"/>
      <c r="S29"/>
      <c r="T29"/>
    </row>
    <row r="30" spans="1:22" x14ac:dyDescent="0.2">
      <c r="B30" s="106" t="s">
        <v>141</v>
      </c>
      <c r="C30" s="106" t="s">
        <v>142</v>
      </c>
      <c r="D30" s="106" t="s">
        <v>143</v>
      </c>
      <c r="E30" s="106" t="s">
        <v>144</v>
      </c>
      <c r="K30"/>
      <c r="L30"/>
      <c r="O30"/>
      <c r="P30"/>
      <c r="S30"/>
      <c r="T30"/>
    </row>
    <row r="31" spans="1:22" x14ac:dyDescent="0.2">
      <c r="B31" s="106" t="s">
        <v>145</v>
      </c>
      <c r="C31" s="106" t="s">
        <v>146</v>
      </c>
      <c r="D31" s="106" t="s">
        <v>147</v>
      </c>
      <c r="E31" s="106" t="s">
        <v>148</v>
      </c>
      <c r="K31"/>
      <c r="L31"/>
      <c r="O31"/>
      <c r="P31"/>
      <c r="S31"/>
      <c r="T31"/>
    </row>
    <row r="32" spans="1:22" x14ac:dyDescent="0.2">
      <c r="B32" s="106" t="s">
        <v>149</v>
      </c>
      <c r="C32" s="106" t="s">
        <v>150</v>
      </c>
      <c r="D32" s="106" t="s">
        <v>151</v>
      </c>
      <c r="E32" s="106" t="s">
        <v>152</v>
      </c>
      <c r="K32"/>
      <c r="L32"/>
      <c r="O32"/>
      <c r="P32"/>
      <c r="S32"/>
      <c r="T32"/>
    </row>
    <row r="33" spans="2:20" x14ac:dyDescent="0.2">
      <c r="B33" s="106" t="s">
        <v>153</v>
      </c>
      <c r="C33" s="106" t="s">
        <v>154</v>
      </c>
      <c r="D33" s="106" t="s">
        <v>155</v>
      </c>
      <c r="E33" s="106" t="s">
        <v>156</v>
      </c>
      <c r="K33"/>
      <c r="L33"/>
      <c r="O33"/>
      <c r="P33"/>
      <c r="S33"/>
      <c r="T33"/>
    </row>
    <row r="34" spans="2:20" x14ac:dyDescent="0.2">
      <c r="B34" s="106" t="s">
        <v>157</v>
      </c>
      <c r="C34" s="106" t="s">
        <v>158</v>
      </c>
      <c r="D34" s="106" t="s">
        <v>159</v>
      </c>
      <c r="E34" s="106" t="s">
        <v>160</v>
      </c>
      <c r="K34"/>
      <c r="L34"/>
      <c r="O34"/>
      <c r="P34"/>
      <c r="S34"/>
      <c r="T34"/>
    </row>
    <row r="35" spans="2:20" x14ac:dyDescent="0.2">
      <c r="B35" s="106" t="s">
        <v>161</v>
      </c>
      <c r="C35" s="106" t="s">
        <v>162</v>
      </c>
      <c r="D35" s="106" t="s">
        <v>163</v>
      </c>
      <c r="E35" s="106" t="s">
        <v>164</v>
      </c>
      <c r="K35"/>
      <c r="L35"/>
      <c r="O35"/>
      <c r="P35"/>
      <c r="S35"/>
      <c r="T35"/>
    </row>
    <row r="36" spans="2:20" x14ac:dyDescent="0.2">
      <c r="B36" s="106" t="s">
        <v>165</v>
      </c>
      <c r="C36" s="106" t="s">
        <v>166</v>
      </c>
      <c r="D36" s="106" t="s">
        <v>167</v>
      </c>
      <c r="E36" s="106" t="s">
        <v>168</v>
      </c>
      <c r="K36"/>
      <c r="L36"/>
      <c r="O36"/>
      <c r="P36"/>
      <c r="S36"/>
      <c r="T36"/>
    </row>
    <row r="37" spans="2:20" x14ac:dyDescent="0.2">
      <c r="B37" s="106" t="s">
        <v>169</v>
      </c>
      <c r="C37" s="106" t="s">
        <v>170</v>
      </c>
      <c r="D37" s="106" t="s">
        <v>171</v>
      </c>
      <c r="E37" s="106" t="s">
        <v>172</v>
      </c>
      <c r="K37"/>
      <c r="L37"/>
      <c r="O37"/>
      <c r="P37"/>
      <c r="S37"/>
      <c r="T37"/>
    </row>
    <row r="38" spans="2:20" x14ac:dyDescent="0.2">
      <c r="B38" s="106" t="s">
        <v>173</v>
      </c>
      <c r="C38" s="106" t="s">
        <v>174</v>
      </c>
      <c r="D38" s="106" t="s">
        <v>175</v>
      </c>
      <c r="E38" s="106" t="s">
        <v>176</v>
      </c>
      <c r="K38"/>
      <c r="L38"/>
      <c r="O38"/>
      <c r="P38"/>
      <c r="S38"/>
      <c r="T38"/>
    </row>
    <row r="39" spans="2:20" x14ac:dyDescent="0.2">
      <c r="B39" s="106" t="s">
        <v>177</v>
      </c>
      <c r="C39" s="106" t="s">
        <v>178</v>
      </c>
      <c r="D39" s="106" t="s">
        <v>179</v>
      </c>
      <c r="E39" s="106" t="s">
        <v>180</v>
      </c>
      <c r="J39" t="s">
        <v>181</v>
      </c>
      <c r="K39"/>
      <c r="L39"/>
      <c r="O39"/>
      <c r="P39"/>
      <c r="S39"/>
      <c r="T39"/>
    </row>
    <row r="40" spans="2:20" x14ac:dyDescent="0.2">
      <c r="B40" s="106" t="s">
        <v>182</v>
      </c>
      <c r="C40" s="106" t="s">
        <v>183</v>
      </c>
      <c r="D40" s="106" t="s">
        <v>184</v>
      </c>
      <c r="E40" s="106" t="s">
        <v>185</v>
      </c>
      <c r="I40">
        <v>2</v>
      </c>
      <c r="J40" t="s">
        <v>186</v>
      </c>
      <c r="K40"/>
      <c r="L40"/>
      <c r="O40"/>
      <c r="P40"/>
      <c r="S40"/>
      <c r="T40"/>
    </row>
    <row r="41" spans="2:20" x14ac:dyDescent="0.2">
      <c r="B41" s="106" t="s">
        <v>187</v>
      </c>
      <c r="C41" s="106" t="s">
        <v>188</v>
      </c>
      <c r="D41" s="106" t="s">
        <v>189</v>
      </c>
      <c r="E41" s="106" t="s">
        <v>190</v>
      </c>
      <c r="F41" t="s">
        <v>191</v>
      </c>
      <c r="I41">
        <v>5</v>
      </c>
      <c r="J41" t="s">
        <v>192</v>
      </c>
      <c r="K41"/>
      <c r="L41"/>
      <c r="O41"/>
      <c r="P41"/>
      <c r="S41"/>
      <c r="T41"/>
    </row>
    <row r="42" spans="2:20" x14ac:dyDescent="0.2">
      <c r="B42" s="106" t="s">
        <v>193</v>
      </c>
      <c r="C42" s="106" t="s">
        <v>194</v>
      </c>
      <c r="D42" s="106" t="s">
        <v>195</v>
      </c>
      <c r="E42" s="106" t="s">
        <v>196</v>
      </c>
      <c r="F42" t="s">
        <v>197</v>
      </c>
      <c r="I42">
        <v>5</v>
      </c>
      <c r="J42" t="s">
        <v>198</v>
      </c>
      <c r="K42"/>
      <c r="L42"/>
      <c r="O42"/>
      <c r="P42"/>
      <c r="S42"/>
      <c r="T42"/>
    </row>
    <row r="43" spans="2:20" x14ac:dyDescent="0.2">
      <c r="B43" s="106" t="s">
        <v>199</v>
      </c>
      <c r="C43" s="106" t="s">
        <v>200</v>
      </c>
      <c r="D43" s="106" t="s">
        <v>201</v>
      </c>
      <c r="E43" s="106" t="s">
        <v>202</v>
      </c>
      <c r="K43"/>
      <c r="L43"/>
      <c r="O43"/>
      <c r="P43"/>
      <c r="S43"/>
      <c r="T43"/>
    </row>
    <row r="44" spans="2:20" x14ac:dyDescent="0.2">
      <c r="B44" s="106" t="s">
        <v>203</v>
      </c>
      <c r="C44" s="106" t="s">
        <v>204</v>
      </c>
      <c r="D44" s="106" t="s">
        <v>205</v>
      </c>
      <c r="E44" s="106" t="s">
        <v>206</v>
      </c>
      <c r="K44"/>
      <c r="L44"/>
      <c r="O44"/>
      <c r="P44"/>
      <c r="S44"/>
      <c r="T44"/>
    </row>
    <row r="45" spans="2:20" x14ac:dyDescent="0.2">
      <c r="B45" s="106" t="s">
        <v>207</v>
      </c>
      <c r="C45" s="106" t="s">
        <v>208</v>
      </c>
      <c r="D45" s="106" t="s">
        <v>209</v>
      </c>
      <c r="E45" s="106" t="s">
        <v>210</v>
      </c>
      <c r="K45"/>
      <c r="L45"/>
      <c r="O45"/>
      <c r="P45"/>
      <c r="S45"/>
      <c r="T45"/>
    </row>
    <row r="46" spans="2:20" x14ac:dyDescent="0.2">
      <c r="B46" s="106" t="s">
        <v>211</v>
      </c>
      <c r="C46" s="106" t="s">
        <v>212</v>
      </c>
      <c r="D46" s="106" t="s">
        <v>213</v>
      </c>
      <c r="E46" s="106" t="s">
        <v>214</v>
      </c>
      <c r="K46"/>
      <c r="L46"/>
      <c r="O46"/>
      <c r="P46"/>
      <c r="S46"/>
      <c r="T46"/>
    </row>
    <row r="47" spans="2:20" x14ac:dyDescent="0.2">
      <c r="B47" s="106" t="s">
        <v>215</v>
      </c>
      <c r="C47" s="106" t="s">
        <v>216</v>
      </c>
      <c r="D47" s="106" t="s">
        <v>217</v>
      </c>
      <c r="E47" s="106" t="s">
        <v>218</v>
      </c>
      <c r="K47"/>
      <c r="L47"/>
      <c r="O47"/>
      <c r="P47"/>
      <c r="S47"/>
      <c r="T47"/>
    </row>
    <row r="48" spans="2:20" x14ac:dyDescent="0.2">
      <c r="B48" s="106" t="s">
        <v>219</v>
      </c>
      <c r="C48" s="106" t="s">
        <v>220</v>
      </c>
      <c r="D48" s="106" t="s">
        <v>221</v>
      </c>
      <c r="E48" s="106" t="s">
        <v>222</v>
      </c>
      <c r="K48"/>
      <c r="L48"/>
      <c r="O48"/>
      <c r="P48"/>
      <c r="S48"/>
      <c r="T48"/>
    </row>
    <row r="49" spans="2:20" x14ac:dyDescent="0.2">
      <c r="B49" s="106" t="s">
        <v>223</v>
      </c>
      <c r="C49" s="106" t="s">
        <v>224</v>
      </c>
      <c r="D49" s="106" t="s">
        <v>225</v>
      </c>
      <c r="E49" s="106" t="s">
        <v>226</v>
      </c>
      <c r="K49"/>
      <c r="L49"/>
      <c r="O49"/>
      <c r="P49"/>
      <c r="S49"/>
      <c r="T49"/>
    </row>
    <row r="50" spans="2:20" x14ac:dyDescent="0.2">
      <c r="B50" s="41"/>
      <c r="C50" s="41"/>
      <c r="D50" s="41"/>
      <c r="E50" s="41"/>
      <c r="K50"/>
      <c r="L50"/>
      <c r="O50"/>
      <c r="P50"/>
      <c r="S50"/>
      <c r="T50"/>
    </row>
    <row r="51" spans="2:20" x14ac:dyDescent="0.2">
      <c r="B51" s="104" t="s">
        <v>227</v>
      </c>
      <c r="C51" s="105"/>
      <c r="D51" s="105"/>
      <c r="E51" s="105"/>
      <c r="K51"/>
      <c r="L51"/>
      <c r="O51"/>
      <c r="P51"/>
      <c r="S51"/>
      <c r="T51"/>
    </row>
    <row r="52" spans="2:20" x14ac:dyDescent="0.2">
      <c r="B52" s="106" t="s">
        <v>228</v>
      </c>
      <c r="C52" s="106" t="s">
        <v>229</v>
      </c>
      <c r="D52" s="106" t="s">
        <v>230</v>
      </c>
      <c r="E52" s="106" t="s">
        <v>231</v>
      </c>
      <c r="K52"/>
      <c r="L52"/>
      <c r="O52"/>
      <c r="P52"/>
      <c r="S52"/>
      <c r="T52"/>
    </row>
    <row r="53" spans="2:20" x14ac:dyDescent="0.2">
      <c r="B53" s="106" t="s">
        <v>232</v>
      </c>
      <c r="C53" s="106" t="s">
        <v>233</v>
      </c>
      <c r="D53" s="106" t="s">
        <v>234</v>
      </c>
      <c r="E53" s="106" t="s">
        <v>235</v>
      </c>
      <c r="K53"/>
      <c r="L53"/>
      <c r="O53"/>
      <c r="P53"/>
      <c r="S53"/>
      <c r="T53"/>
    </row>
    <row r="54" spans="2:20" x14ac:dyDescent="0.2">
      <c r="B54" s="106" t="s">
        <v>236</v>
      </c>
      <c r="C54" s="106" t="s">
        <v>237</v>
      </c>
      <c r="D54" s="106" t="s">
        <v>238</v>
      </c>
      <c r="E54" s="106" t="s">
        <v>239</v>
      </c>
      <c r="K54"/>
      <c r="L54"/>
      <c r="O54"/>
      <c r="P54"/>
      <c r="S54"/>
      <c r="T54"/>
    </row>
    <row r="55" spans="2:20" x14ac:dyDescent="0.2">
      <c r="B55" s="106" t="s">
        <v>240</v>
      </c>
      <c r="C55" s="106" t="s">
        <v>241</v>
      </c>
      <c r="D55" s="106" t="s">
        <v>242</v>
      </c>
      <c r="E55" s="106" t="s">
        <v>243</v>
      </c>
      <c r="K55"/>
      <c r="L55"/>
      <c r="O55"/>
      <c r="P55"/>
      <c r="S55"/>
      <c r="T55"/>
    </row>
    <row r="56" spans="2:20" x14ac:dyDescent="0.2">
      <c r="B56" s="106" t="s">
        <v>244</v>
      </c>
      <c r="C56" s="106" t="s">
        <v>245</v>
      </c>
      <c r="D56" s="106" t="s">
        <v>246</v>
      </c>
      <c r="E56" s="106" t="s">
        <v>247</v>
      </c>
      <c r="K56"/>
      <c r="L56"/>
      <c r="O56"/>
      <c r="P56"/>
      <c r="S56"/>
      <c r="T56"/>
    </row>
    <row r="57" spans="2:20" x14ac:dyDescent="0.2">
      <c r="B57" s="106" t="s">
        <v>248</v>
      </c>
      <c r="C57" s="106" t="s">
        <v>249</v>
      </c>
      <c r="D57" s="106" t="s">
        <v>250</v>
      </c>
      <c r="E57" s="106" t="s">
        <v>251</v>
      </c>
      <c r="K57"/>
      <c r="L57"/>
      <c r="O57"/>
      <c r="P57"/>
      <c r="S57"/>
      <c r="T57"/>
    </row>
    <row r="58" spans="2:20" x14ac:dyDescent="0.2">
      <c r="B58" s="106" t="s">
        <v>252</v>
      </c>
      <c r="C58" s="106" t="s">
        <v>253</v>
      </c>
      <c r="D58" s="106" t="s">
        <v>254</v>
      </c>
      <c r="E58" s="106" t="s">
        <v>255</v>
      </c>
      <c r="K58"/>
      <c r="L58"/>
      <c r="O58"/>
      <c r="P58"/>
      <c r="S58"/>
      <c r="T58"/>
    </row>
    <row r="59" spans="2:20" x14ac:dyDescent="0.2">
      <c r="B59" s="106" t="s">
        <v>256</v>
      </c>
      <c r="C59" s="106" t="s">
        <v>257</v>
      </c>
      <c r="D59" s="106" t="s">
        <v>258</v>
      </c>
      <c r="E59" s="106" t="s">
        <v>259</v>
      </c>
      <c r="K59"/>
      <c r="L59"/>
      <c r="O59"/>
      <c r="P59"/>
      <c r="S59"/>
      <c r="T59"/>
    </row>
    <row r="60" spans="2:20" x14ac:dyDescent="0.2">
      <c r="B60" s="106" t="s">
        <v>260</v>
      </c>
      <c r="C60" s="106" t="s">
        <v>261</v>
      </c>
      <c r="D60" s="106" t="s">
        <v>262</v>
      </c>
      <c r="E60" s="106" t="s">
        <v>263</v>
      </c>
      <c r="K60"/>
      <c r="L60"/>
      <c r="O60"/>
      <c r="P60"/>
      <c r="S60"/>
      <c r="T60"/>
    </row>
    <row r="61" spans="2:20" x14ac:dyDescent="0.2">
      <c r="B61" s="106" t="s">
        <v>264</v>
      </c>
      <c r="C61" s="106" t="s">
        <v>265</v>
      </c>
      <c r="D61" s="106" t="s">
        <v>266</v>
      </c>
      <c r="E61" s="106" t="s">
        <v>267</v>
      </c>
      <c r="K61"/>
      <c r="L61"/>
      <c r="O61"/>
      <c r="P61"/>
      <c r="S61"/>
      <c r="T61"/>
    </row>
    <row r="62" spans="2:20" x14ac:dyDescent="0.2">
      <c r="B62" s="106" t="s">
        <v>268</v>
      </c>
      <c r="C62" s="106" t="s">
        <v>269</v>
      </c>
      <c r="D62" s="106" t="s">
        <v>270</v>
      </c>
      <c r="E62" s="106" t="s">
        <v>271</v>
      </c>
      <c r="K62"/>
      <c r="L62"/>
      <c r="O62"/>
      <c r="P62"/>
      <c r="S62"/>
      <c r="T62"/>
    </row>
    <row r="63" spans="2:20" x14ac:dyDescent="0.2">
      <c r="B63" s="106" t="s">
        <v>272</v>
      </c>
      <c r="C63" s="106" t="s">
        <v>273</v>
      </c>
      <c r="D63" s="106" t="s">
        <v>274</v>
      </c>
      <c r="E63" s="106" t="s">
        <v>275</v>
      </c>
      <c r="K63"/>
      <c r="L63"/>
      <c r="O63"/>
      <c r="P63"/>
      <c r="S63"/>
      <c r="T63"/>
    </row>
    <row r="64" spans="2:20" x14ac:dyDescent="0.2">
      <c r="B64" s="106" t="s">
        <v>276</v>
      </c>
      <c r="C64" s="106" t="s">
        <v>277</v>
      </c>
      <c r="D64" s="106" t="s">
        <v>278</v>
      </c>
      <c r="E64" s="106" t="s">
        <v>279</v>
      </c>
      <c r="K64"/>
      <c r="L64"/>
      <c r="O64"/>
      <c r="P64"/>
      <c r="S64"/>
      <c r="T64"/>
    </row>
    <row r="65" spans="2:20" x14ac:dyDescent="0.2">
      <c r="B65" s="106" t="s">
        <v>280</v>
      </c>
      <c r="C65" s="106" t="s">
        <v>281</v>
      </c>
      <c r="D65" s="106" t="s">
        <v>282</v>
      </c>
      <c r="E65" s="106" t="s">
        <v>283</v>
      </c>
      <c r="K65"/>
      <c r="L65"/>
      <c r="O65"/>
      <c r="P65"/>
      <c r="S65"/>
      <c r="T65"/>
    </row>
    <row r="66" spans="2:20" x14ac:dyDescent="0.2">
      <c r="B66" s="106" t="s">
        <v>284</v>
      </c>
      <c r="C66" s="106" t="s">
        <v>285</v>
      </c>
      <c r="D66" s="106" t="s">
        <v>286</v>
      </c>
      <c r="E66" s="106" t="s">
        <v>287</v>
      </c>
      <c r="K66"/>
      <c r="L66"/>
      <c r="O66"/>
      <c r="P66"/>
      <c r="S66"/>
      <c r="T66"/>
    </row>
    <row r="67" spans="2:20" x14ac:dyDescent="0.2">
      <c r="B67" s="106" t="s">
        <v>288</v>
      </c>
      <c r="C67" s="106" t="s">
        <v>289</v>
      </c>
      <c r="D67" s="106" t="s">
        <v>290</v>
      </c>
      <c r="E67" s="106" t="s">
        <v>291</v>
      </c>
      <c r="K67"/>
      <c r="L67"/>
      <c r="O67"/>
      <c r="P67"/>
      <c r="S67"/>
      <c r="T67"/>
    </row>
    <row r="68" spans="2:20" x14ac:dyDescent="0.2">
      <c r="B68" t="s">
        <v>292</v>
      </c>
      <c r="C68" t="s">
        <v>293</v>
      </c>
      <c r="K68"/>
      <c r="L68"/>
      <c r="O68"/>
      <c r="P68"/>
      <c r="S68"/>
      <c r="T68"/>
    </row>
    <row r="69" spans="2:20" x14ac:dyDescent="0.2">
      <c r="B69" t="s">
        <v>141</v>
      </c>
      <c r="C69" t="s">
        <v>294</v>
      </c>
      <c r="K69"/>
      <c r="L69"/>
      <c r="O69"/>
      <c r="P69"/>
      <c r="S69"/>
      <c r="T69"/>
    </row>
    <row r="70" spans="2:20" x14ac:dyDescent="0.2">
      <c r="B70" t="s">
        <v>295</v>
      </c>
      <c r="K70"/>
      <c r="L70"/>
      <c r="O70"/>
      <c r="P70"/>
      <c r="S70"/>
      <c r="T70"/>
    </row>
    <row r="71" spans="2:20" x14ac:dyDescent="0.2">
      <c r="B71" t="s">
        <v>296</v>
      </c>
      <c r="K71"/>
      <c r="L71"/>
      <c r="O71"/>
      <c r="P71"/>
      <c r="S71"/>
      <c r="T71"/>
    </row>
    <row r="72" spans="2:20" x14ac:dyDescent="0.2">
      <c r="K72"/>
      <c r="L72"/>
      <c r="O72"/>
      <c r="P72"/>
      <c r="S72"/>
      <c r="T72"/>
    </row>
    <row r="73" spans="2:20" x14ac:dyDescent="0.2">
      <c r="B73" t="s">
        <v>297</v>
      </c>
      <c r="K73"/>
      <c r="L73"/>
      <c r="O73"/>
      <c r="P73"/>
      <c r="S73"/>
      <c r="T73"/>
    </row>
    <row r="74" spans="2:20" x14ac:dyDescent="0.2">
      <c r="B74" t="s">
        <v>298</v>
      </c>
      <c r="K74"/>
      <c r="L74"/>
      <c r="O74"/>
      <c r="P74"/>
      <c r="S74"/>
      <c r="T74"/>
    </row>
    <row r="75" spans="2:20" x14ac:dyDescent="0.2">
      <c r="B75" t="s">
        <v>299</v>
      </c>
      <c r="K75"/>
      <c r="L75"/>
      <c r="O75"/>
      <c r="P75"/>
      <c r="S75"/>
      <c r="T75"/>
    </row>
    <row r="76" spans="2:20" x14ac:dyDescent="0.2">
      <c r="K76"/>
      <c r="L76"/>
      <c r="O76"/>
      <c r="P76"/>
      <c r="S76"/>
      <c r="T76"/>
    </row>
    <row r="77" spans="2:20" x14ac:dyDescent="0.2">
      <c r="K77"/>
      <c r="L77"/>
      <c r="O77"/>
      <c r="P77"/>
      <c r="S77"/>
      <c r="T77"/>
    </row>
    <row r="78" spans="2:20" x14ac:dyDescent="0.2">
      <c r="K78"/>
      <c r="L78"/>
      <c r="O78"/>
      <c r="P78"/>
      <c r="S78"/>
      <c r="T78"/>
    </row>
    <row r="79" spans="2:20" x14ac:dyDescent="0.2">
      <c r="K79"/>
      <c r="L79"/>
      <c r="O79"/>
      <c r="P79"/>
      <c r="S79"/>
      <c r="T79"/>
    </row>
    <row r="80" spans="2:20" x14ac:dyDescent="0.2">
      <c r="K80"/>
      <c r="L80"/>
      <c r="O80"/>
      <c r="P80"/>
      <c r="S80"/>
      <c r="T80"/>
    </row>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customFormat="1" x14ac:dyDescent="0.2"/>
    <row r="98" customFormat="1" x14ac:dyDescent="0.2"/>
    <row r="99" customFormat="1" x14ac:dyDescent="0.2"/>
    <row r="100" customFormat="1" x14ac:dyDescent="0.2"/>
    <row r="101" customFormat="1" x14ac:dyDescent="0.2"/>
    <row r="102" customFormat="1" x14ac:dyDescent="0.2"/>
    <row r="103" customFormat="1" x14ac:dyDescent="0.2"/>
    <row r="104" customFormat="1" x14ac:dyDescent="0.2"/>
    <row r="105" customFormat="1" x14ac:dyDescent="0.2"/>
    <row r="106" customFormat="1" x14ac:dyDescent="0.2"/>
    <row r="107" customFormat="1" x14ac:dyDescent="0.2"/>
    <row r="108" customFormat="1" x14ac:dyDescent="0.2"/>
    <row r="109" customFormat="1" x14ac:dyDescent="0.2"/>
    <row r="110" customFormat="1" x14ac:dyDescent="0.2"/>
    <row r="111" customFormat="1" x14ac:dyDescent="0.2"/>
    <row r="112"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sheetData>
  <mergeCells count="23">
    <mergeCell ref="N1:Q1"/>
    <mergeCell ref="R1:U1"/>
    <mergeCell ref="B2:C2"/>
    <mergeCell ref="D2:E2"/>
    <mergeCell ref="F2:G2"/>
    <mergeCell ref="H2:I2"/>
    <mergeCell ref="J2:K2"/>
    <mergeCell ref="L2:M2"/>
    <mergeCell ref="N2:O2"/>
    <mergeCell ref="P2:Q2"/>
    <mergeCell ref="B1:E1"/>
    <mergeCell ref="F1:I1"/>
    <mergeCell ref="J1:M1"/>
    <mergeCell ref="C10:D10"/>
    <mergeCell ref="K10:L10"/>
    <mergeCell ref="O10:P10"/>
    <mergeCell ref="S10:T10"/>
    <mergeCell ref="R2:S2"/>
    <mergeCell ref="T2:U2"/>
    <mergeCell ref="C5:D5"/>
    <mergeCell ref="G5:H5"/>
    <mergeCell ref="K5:L5"/>
    <mergeCell ref="O5:P5"/>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00B91-CD98-9F40-B4A4-97CEEA4B4A32}">
  <dimension ref="A1:I42"/>
  <sheetViews>
    <sheetView tabSelected="1" topLeftCell="A13" workbookViewId="0">
      <pane xSplit="1" topLeftCell="B1" activePane="topRight" state="frozen"/>
      <selection pane="topRight" activeCell="B26" sqref="B26"/>
    </sheetView>
  </sheetViews>
  <sheetFormatPr baseColWidth="10" defaultRowHeight="16" x14ac:dyDescent="0.2"/>
  <cols>
    <col min="1" max="1" width="26.6640625" customWidth="1"/>
    <col min="2" max="9" width="36.6640625" customWidth="1"/>
  </cols>
  <sheetData>
    <row r="1" spans="1:9" ht="32" customHeight="1" x14ac:dyDescent="0.25">
      <c r="A1" s="219" t="s">
        <v>536</v>
      </c>
      <c r="B1" s="191"/>
      <c r="C1" s="191"/>
      <c r="D1" s="191"/>
      <c r="E1" s="191"/>
      <c r="F1" s="191"/>
      <c r="G1" s="191"/>
      <c r="H1" s="191"/>
      <c r="I1" s="121"/>
    </row>
    <row r="2" spans="1:9" ht="24" customHeight="1" x14ac:dyDescent="0.2">
      <c r="A2" s="220" t="s">
        <v>537</v>
      </c>
      <c r="B2" s="191"/>
      <c r="C2" s="191"/>
      <c r="D2" s="191"/>
      <c r="E2" s="191"/>
      <c r="F2" s="191"/>
      <c r="G2" s="191"/>
      <c r="H2" s="191"/>
      <c r="I2" s="121"/>
    </row>
    <row r="3" spans="1:9" ht="65" customHeight="1" x14ac:dyDescent="0.2">
      <c r="A3" s="204" t="s">
        <v>538</v>
      </c>
      <c r="B3" s="191"/>
      <c r="C3" s="191"/>
      <c r="D3" s="191"/>
      <c r="E3" s="191"/>
      <c r="F3" s="191"/>
      <c r="G3" s="191"/>
      <c r="H3" s="191"/>
      <c r="I3" s="121"/>
    </row>
    <row r="4" spans="1:9" ht="22" customHeight="1" x14ac:dyDescent="0.2">
      <c r="A4" s="221" t="s">
        <v>539</v>
      </c>
      <c r="B4" s="191"/>
      <c r="C4" s="191"/>
      <c r="D4" s="191"/>
      <c r="E4" s="191"/>
      <c r="F4" s="191"/>
      <c r="G4" s="191"/>
      <c r="H4" s="191"/>
      <c r="I4" s="121"/>
    </row>
    <row r="5" spans="1:9" ht="65" customHeight="1" x14ac:dyDescent="0.2">
      <c r="A5" s="204" t="s">
        <v>540</v>
      </c>
      <c r="B5" s="191"/>
      <c r="C5" s="191"/>
      <c r="D5" s="191"/>
      <c r="E5" s="191"/>
      <c r="F5" s="191"/>
      <c r="G5" s="191"/>
      <c r="H5" s="191"/>
      <c r="I5" s="121"/>
    </row>
    <row r="6" spans="1:9" ht="22" customHeight="1" x14ac:dyDescent="0.2">
      <c r="A6" s="221" t="s">
        <v>541</v>
      </c>
      <c r="B6" s="191"/>
      <c r="C6" s="191"/>
      <c r="D6" s="191"/>
      <c r="E6" s="191"/>
      <c r="F6" s="191"/>
      <c r="G6" s="191"/>
      <c r="H6" s="191"/>
      <c r="I6" s="121"/>
    </row>
    <row r="7" spans="1:9" ht="130" customHeight="1" x14ac:dyDescent="0.2">
      <c r="A7" s="204" t="s">
        <v>542</v>
      </c>
      <c r="B7" s="218"/>
      <c r="C7" s="218"/>
      <c r="D7" s="218"/>
      <c r="E7" s="218"/>
      <c r="F7" s="218"/>
      <c r="G7" s="218"/>
      <c r="H7" s="218"/>
      <c r="I7" s="223"/>
    </row>
    <row r="8" spans="1:9" ht="22" customHeight="1" x14ac:dyDescent="0.2">
      <c r="A8" s="221" t="s">
        <v>543</v>
      </c>
      <c r="B8" s="191"/>
      <c r="C8" s="191"/>
      <c r="D8" s="191"/>
      <c r="E8" s="191"/>
      <c r="F8" s="191"/>
      <c r="G8" s="191"/>
      <c r="H8" s="191"/>
      <c r="I8" s="121"/>
    </row>
    <row r="9" spans="1:9" ht="150" customHeight="1" x14ac:dyDescent="0.2">
      <c r="A9" s="204" t="s">
        <v>544</v>
      </c>
      <c r="B9" s="218"/>
      <c r="C9" s="218"/>
      <c r="D9" s="218"/>
      <c r="E9" s="218"/>
      <c r="F9" s="218"/>
      <c r="G9" s="218"/>
      <c r="H9" s="218"/>
      <c r="I9" s="223"/>
    </row>
    <row r="10" spans="1:9" ht="22" customHeight="1" x14ac:dyDescent="0.2">
      <c r="A10" s="221" t="s">
        <v>545</v>
      </c>
      <c r="B10" s="191"/>
      <c r="C10" s="191"/>
      <c r="D10" s="191"/>
      <c r="E10" s="191"/>
      <c r="F10" s="191"/>
      <c r="G10" s="191"/>
      <c r="H10" s="191"/>
      <c r="I10" s="121"/>
    </row>
    <row r="11" spans="1:9" ht="150" customHeight="1" x14ac:dyDescent="0.2">
      <c r="A11" s="204" t="s">
        <v>546</v>
      </c>
      <c r="B11" s="218"/>
      <c r="C11" s="218"/>
      <c r="D11" s="218"/>
      <c r="E11" s="218"/>
      <c r="F11" s="218"/>
      <c r="G11" s="218"/>
      <c r="H11" s="218"/>
      <c r="I11" s="223"/>
    </row>
    <row r="12" spans="1:9" ht="22" customHeight="1" x14ac:dyDescent="0.2">
      <c r="A12" s="222" t="s">
        <v>547</v>
      </c>
      <c r="B12" s="191"/>
      <c r="C12" s="191"/>
      <c r="D12" s="191"/>
      <c r="E12" s="191"/>
      <c r="F12" s="191"/>
      <c r="G12" s="191"/>
      <c r="H12" s="191"/>
      <c r="I12" s="121"/>
    </row>
    <row r="13" spans="1:9" ht="65" customHeight="1" x14ac:dyDescent="0.2">
      <c r="A13" s="204" t="s">
        <v>548</v>
      </c>
      <c r="B13" s="191"/>
      <c r="C13" s="191"/>
      <c r="D13" s="191"/>
      <c r="E13" s="191"/>
      <c r="F13" s="191"/>
      <c r="G13" s="191"/>
      <c r="H13" s="191"/>
      <c r="I13" s="121"/>
    </row>
    <row r="14" spans="1:9" ht="8" customHeight="1" x14ac:dyDescent="0.2">
      <c r="A14" s="214"/>
      <c r="B14" s="214"/>
      <c r="C14" s="214"/>
      <c r="D14" s="214"/>
      <c r="E14" s="214"/>
      <c r="F14" s="214"/>
      <c r="G14" s="214"/>
      <c r="H14" s="214"/>
      <c r="I14" s="214"/>
    </row>
    <row r="15" spans="1:9" ht="35" customHeight="1" x14ac:dyDescent="0.3">
      <c r="A15" s="161" t="s">
        <v>300</v>
      </c>
      <c r="B15" s="118"/>
      <c r="C15" s="118"/>
      <c r="D15" s="174"/>
      <c r="E15" s="118"/>
      <c r="F15" s="174"/>
      <c r="G15" s="118"/>
      <c r="H15" s="174"/>
      <c r="I15" s="118"/>
    </row>
    <row r="16" spans="1:9" ht="28" customHeight="1" x14ac:dyDescent="0.2">
      <c r="A16" s="162"/>
      <c r="B16" s="140" t="s">
        <v>301</v>
      </c>
      <c r="C16" s="141"/>
      <c r="D16" s="175" t="s">
        <v>302</v>
      </c>
      <c r="E16" s="130"/>
      <c r="F16" s="175" t="s">
        <v>303</v>
      </c>
      <c r="G16" s="130"/>
      <c r="H16" s="175" t="s">
        <v>304</v>
      </c>
      <c r="I16" s="168"/>
    </row>
    <row r="17" spans="1:9" ht="22" customHeight="1" x14ac:dyDescent="0.2">
      <c r="A17" s="143" t="s">
        <v>305</v>
      </c>
      <c r="B17" s="143" t="s">
        <v>55</v>
      </c>
      <c r="C17" s="144" t="s">
        <v>56</v>
      </c>
      <c r="D17" s="176" t="s">
        <v>55</v>
      </c>
      <c r="E17" s="131" t="s">
        <v>56</v>
      </c>
      <c r="F17" s="176" t="s">
        <v>55</v>
      </c>
      <c r="G17" s="131" t="s">
        <v>56</v>
      </c>
      <c r="H17" s="176" t="s">
        <v>55</v>
      </c>
      <c r="I17" s="142" t="s">
        <v>56</v>
      </c>
    </row>
    <row r="18" spans="1:9" ht="24" customHeight="1" x14ac:dyDescent="0.2">
      <c r="A18" s="146" t="s">
        <v>60</v>
      </c>
      <c r="B18" s="146"/>
      <c r="C18" s="147"/>
      <c r="D18" s="177"/>
      <c r="E18" s="132"/>
      <c r="F18" s="177"/>
      <c r="G18" s="132"/>
      <c r="H18" s="177"/>
      <c r="I18" s="145"/>
    </row>
    <row r="19" spans="1:9" ht="45" customHeight="1" x14ac:dyDescent="0.2">
      <c r="A19" s="163" t="s">
        <v>320</v>
      </c>
      <c r="B19" s="148" t="s">
        <v>67</v>
      </c>
      <c r="C19" s="149" t="s">
        <v>67</v>
      </c>
      <c r="D19" s="178" t="s">
        <v>67</v>
      </c>
      <c r="E19" s="133" t="s">
        <v>67</v>
      </c>
      <c r="F19" s="178" t="s">
        <v>67</v>
      </c>
      <c r="G19" s="133" t="s">
        <v>67</v>
      </c>
      <c r="H19" s="178" t="s">
        <v>67</v>
      </c>
      <c r="I19" s="169" t="s">
        <v>67</v>
      </c>
    </row>
    <row r="20" spans="1:9" ht="45" customHeight="1" x14ac:dyDescent="0.2">
      <c r="A20" s="163" t="s">
        <v>321</v>
      </c>
      <c r="B20" s="148" t="s">
        <v>309</v>
      </c>
      <c r="C20" s="149" t="s">
        <v>71</v>
      </c>
      <c r="D20" s="178" t="s">
        <v>69</v>
      </c>
      <c r="E20" s="133" t="s">
        <v>70</v>
      </c>
      <c r="F20" s="178" t="s">
        <v>76</v>
      </c>
      <c r="G20" s="133" t="s">
        <v>77</v>
      </c>
      <c r="H20" s="178" t="s">
        <v>79</v>
      </c>
      <c r="I20" s="169" t="s">
        <v>91</v>
      </c>
    </row>
    <row r="21" spans="1:9" ht="45" customHeight="1" x14ac:dyDescent="0.2">
      <c r="A21" s="163" t="s">
        <v>322</v>
      </c>
      <c r="B21" s="148" t="s">
        <v>323</v>
      </c>
      <c r="C21" s="149" t="s">
        <v>72</v>
      </c>
      <c r="D21" s="178" t="s">
        <v>74</v>
      </c>
      <c r="E21" s="133" t="s">
        <v>82</v>
      </c>
      <c r="F21" s="178" t="s">
        <v>78</v>
      </c>
      <c r="G21" s="133" t="s">
        <v>89</v>
      </c>
      <c r="H21" s="178" t="s">
        <v>80</v>
      </c>
      <c r="I21" s="169" t="s">
        <v>92</v>
      </c>
    </row>
    <row r="22" spans="1:9" ht="45" customHeight="1" x14ac:dyDescent="0.2">
      <c r="A22" s="163" t="s">
        <v>324</v>
      </c>
      <c r="B22" s="148"/>
      <c r="C22" s="149" t="s">
        <v>73</v>
      </c>
      <c r="D22" s="178" t="s">
        <v>75</v>
      </c>
      <c r="E22" s="133" t="s">
        <v>87</v>
      </c>
      <c r="F22" s="178" t="s">
        <v>88</v>
      </c>
      <c r="G22" s="133" t="s">
        <v>90</v>
      </c>
      <c r="H22" s="178" t="s">
        <v>81</v>
      </c>
      <c r="I22" s="169" t="s">
        <v>93</v>
      </c>
    </row>
    <row r="23" spans="1:9" ht="20" customHeight="1" x14ac:dyDescent="0.2">
      <c r="A23" s="164" t="s">
        <v>325</v>
      </c>
      <c r="B23" s="150" t="s">
        <v>306</v>
      </c>
      <c r="C23" s="151"/>
      <c r="D23" s="179"/>
      <c r="E23" s="134"/>
      <c r="F23" s="179"/>
      <c r="G23" s="134"/>
      <c r="H23" s="179"/>
      <c r="I23" s="170"/>
    </row>
    <row r="24" spans="1:9" ht="24" customHeight="1" x14ac:dyDescent="0.2">
      <c r="A24" s="165" t="s">
        <v>307</v>
      </c>
      <c r="B24" s="152"/>
      <c r="C24" s="153"/>
      <c r="D24" s="180"/>
      <c r="E24" s="135"/>
      <c r="F24" s="180"/>
      <c r="G24" s="135"/>
      <c r="H24" s="180"/>
      <c r="I24" s="171"/>
    </row>
    <row r="25" spans="1:9" ht="45" customHeight="1" x14ac:dyDescent="0.2">
      <c r="A25" s="163" t="s">
        <v>326</v>
      </c>
      <c r="B25" s="148" t="s">
        <v>310</v>
      </c>
      <c r="C25" s="149" t="s">
        <v>84</v>
      </c>
      <c r="D25" s="178" t="s">
        <v>312</v>
      </c>
      <c r="E25" s="133" t="s">
        <v>314</v>
      </c>
      <c r="F25" s="215" t="s">
        <v>549</v>
      </c>
      <c r="G25" s="216" t="s">
        <v>549</v>
      </c>
      <c r="H25" s="215" t="s">
        <v>549</v>
      </c>
      <c r="I25" s="217" t="s">
        <v>549</v>
      </c>
    </row>
    <row r="26" spans="1:9" ht="45" customHeight="1" x14ac:dyDescent="0.2">
      <c r="A26" s="163" t="s">
        <v>327</v>
      </c>
      <c r="B26" s="148" t="s">
        <v>311</v>
      </c>
      <c r="C26" s="149" t="s">
        <v>85</v>
      </c>
      <c r="D26" s="178" t="s">
        <v>313</v>
      </c>
      <c r="E26" s="133" t="s">
        <v>315</v>
      </c>
      <c r="F26" s="215" t="s">
        <v>549</v>
      </c>
      <c r="G26" s="216" t="s">
        <v>549</v>
      </c>
      <c r="H26" s="215" t="s">
        <v>549</v>
      </c>
      <c r="I26" s="217" t="s">
        <v>549</v>
      </c>
    </row>
    <row r="27" spans="1:9" ht="45" customHeight="1" x14ac:dyDescent="0.2">
      <c r="A27" s="163" t="s">
        <v>328</v>
      </c>
      <c r="B27" s="148"/>
      <c r="C27" s="149" t="s">
        <v>86</v>
      </c>
      <c r="D27" s="178"/>
      <c r="E27" s="133"/>
      <c r="F27" s="215" t="s">
        <v>549</v>
      </c>
      <c r="G27" s="216" t="s">
        <v>549</v>
      </c>
      <c r="H27" s="215" t="s">
        <v>549</v>
      </c>
      <c r="I27" s="217" t="s">
        <v>549</v>
      </c>
    </row>
    <row r="28" spans="1:9" ht="20" customHeight="1" x14ac:dyDescent="0.2">
      <c r="A28" s="164" t="s">
        <v>329</v>
      </c>
      <c r="B28" s="150" t="s">
        <v>306</v>
      </c>
      <c r="C28" s="151"/>
      <c r="D28" s="179"/>
      <c r="E28" s="134"/>
      <c r="F28" s="179"/>
      <c r="G28" s="134"/>
      <c r="H28" s="179"/>
      <c r="I28" s="170"/>
    </row>
    <row r="29" spans="1:9" ht="24" customHeight="1" x14ac:dyDescent="0.2">
      <c r="A29" s="166" t="s">
        <v>308</v>
      </c>
      <c r="B29" s="154"/>
      <c r="C29" s="155"/>
      <c r="D29" s="181"/>
      <c r="E29" s="136"/>
      <c r="F29" s="181"/>
      <c r="G29" s="136"/>
      <c r="H29" s="181"/>
      <c r="I29" s="172"/>
    </row>
    <row r="30" spans="1:9" ht="30" customHeight="1" x14ac:dyDescent="0.2">
      <c r="A30" s="163" t="s">
        <v>330</v>
      </c>
      <c r="B30" s="148" t="s">
        <v>116</v>
      </c>
      <c r="C30" s="149" t="s">
        <v>117</v>
      </c>
      <c r="D30" s="178" t="s">
        <v>118</v>
      </c>
      <c r="E30" s="133" t="s">
        <v>119</v>
      </c>
      <c r="F30" s="178" t="s">
        <v>120</v>
      </c>
      <c r="G30" s="133" t="s">
        <v>121</v>
      </c>
      <c r="H30" s="178" t="s">
        <v>122</v>
      </c>
      <c r="I30" s="169" t="s">
        <v>123</v>
      </c>
    </row>
    <row r="31" spans="1:9" ht="8" customHeight="1" x14ac:dyDescent="0.2">
      <c r="A31" s="108"/>
      <c r="B31" s="108"/>
      <c r="C31" s="109"/>
      <c r="D31" s="182"/>
      <c r="E31" s="137"/>
      <c r="F31" s="182"/>
      <c r="G31" s="137"/>
      <c r="H31" s="182"/>
      <c r="I31" s="110"/>
    </row>
    <row r="32" spans="1:9" x14ac:dyDescent="0.2">
      <c r="A32" s="157" t="s">
        <v>316</v>
      </c>
      <c r="B32" s="157" t="s">
        <v>55</v>
      </c>
      <c r="C32" s="158" t="s">
        <v>56</v>
      </c>
      <c r="D32" s="183" t="s">
        <v>55</v>
      </c>
      <c r="E32" s="138" t="s">
        <v>56</v>
      </c>
      <c r="F32" s="183" t="s">
        <v>55</v>
      </c>
      <c r="G32" s="138" t="s">
        <v>56</v>
      </c>
      <c r="H32" s="183" t="s">
        <v>55</v>
      </c>
      <c r="I32" s="156" t="s">
        <v>56</v>
      </c>
    </row>
    <row r="33" spans="1:9" x14ac:dyDescent="0.2">
      <c r="A33" s="167" t="s">
        <v>66</v>
      </c>
      <c r="B33" s="159" t="s">
        <v>317</v>
      </c>
      <c r="C33" s="160" t="s">
        <v>317</v>
      </c>
      <c r="D33" s="184" t="s">
        <v>317</v>
      </c>
      <c r="E33" s="139" t="s">
        <v>317</v>
      </c>
      <c r="F33" s="184" t="s">
        <v>317</v>
      </c>
      <c r="G33" s="139" t="s">
        <v>317</v>
      </c>
      <c r="H33" s="184" t="s">
        <v>317</v>
      </c>
      <c r="I33" s="173" t="s">
        <v>317</v>
      </c>
    </row>
    <row r="34" spans="1:9" x14ac:dyDescent="0.2">
      <c r="A34" s="167" t="s">
        <v>318</v>
      </c>
      <c r="B34" s="159" t="s">
        <v>317</v>
      </c>
      <c r="C34" s="160" t="s">
        <v>317</v>
      </c>
      <c r="D34" s="184" t="s">
        <v>317</v>
      </c>
      <c r="E34" s="139" t="s">
        <v>317</v>
      </c>
      <c r="F34" s="184" t="s">
        <v>317</v>
      </c>
      <c r="G34" s="139" t="s">
        <v>317</v>
      </c>
      <c r="H34" s="184" t="s">
        <v>317</v>
      </c>
      <c r="I34" s="173" t="s">
        <v>317</v>
      </c>
    </row>
    <row r="35" spans="1:9" x14ac:dyDescent="0.2">
      <c r="A35" s="167" t="s">
        <v>31</v>
      </c>
      <c r="B35" s="159" t="s">
        <v>317</v>
      </c>
      <c r="C35" s="160" t="s">
        <v>317</v>
      </c>
      <c r="D35" s="184"/>
      <c r="E35" s="139"/>
      <c r="F35" s="184"/>
      <c r="G35" s="139"/>
      <c r="H35" s="184"/>
      <c r="I35" s="173"/>
    </row>
    <row r="36" spans="1:9" x14ac:dyDescent="0.2">
      <c r="A36" s="167" t="s">
        <v>319</v>
      </c>
      <c r="B36" s="159"/>
      <c r="C36" s="160"/>
      <c r="D36" s="184" t="s">
        <v>317</v>
      </c>
      <c r="E36" s="139" t="s">
        <v>317</v>
      </c>
      <c r="F36" s="184"/>
      <c r="G36" s="139"/>
      <c r="H36" s="184"/>
      <c r="I36" s="173"/>
    </row>
    <row r="37" spans="1:9" x14ac:dyDescent="0.2">
      <c r="A37" s="167" t="s">
        <v>26</v>
      </c>
      <c r="B37" s="159"/>
      <c r="C37" s="160"/>
      <c r="D37" s="184"/>
      <c r="E37" s="139"/>
      <c r="F37" s="184" t="s">
        <v>317</v>
      </c>
      <c r="G37" s="139" t="s">
        <v>317</v>
      </c>
      <c r="H37" s="184" t="s">
        <v>317</v>
      </c>
      <c r="I37" s="173" t="s">
        <v>317</v>
      </c>
    </row>
    <row r="39" spans="1:9" x14ac:dyDescent="0.2">
      <c r="A39" s="186" t="s">
        <v>331</v>
      </c>
      <c r="B39" s="185"/>
      <c r="C39" s="185"/>
      <c r="D39" s="185"/>
      <c r="E39" s="185"/>
      <c r="F39" s="185"/>
      <c r="G39" s="185"/>
      <c r="H39" s="185"/>
      <c r="I39" s="185"/>
    </row>
    <row r="40" spans="1:9" x14ac:dyDescent="0.2">
      <c r="A40" s="187" t="s">
        <v>332</v>
      </c>
      <c r="B40" s="188"/>
      <c r="C40" s="188"/>
      <c r="D40" s="188"/>
      <c r="E40" s="188"/>
      <c r="F40" s="188"/>
      <c r="G40" s="188"/>
      <c r="H40" s="188"/>
      <c r="I40" s="188"/>
    </row>
    <row r="41" spans="1:9" x14ac:dyDescent="0.2">
      <c r="A41" s="189" t="s">
        <v>333</v>
      </c>
      <c r="B41" s="190"/>
      <c r="C41" s="190"/>
      <c r="D41" s="190"/>
      <c r="E41" s="190"/>
      <c r="F41" s="190"/>
      <c r="G41" s="190"/>
      <c r="H41" s="190"/>
      <c r="I41" s="190"/>
    </row>
    <row r="42" spans="1:9" x14ac:dyDescent="0.2">
      <c r="A42" s="189" t="s">
        <v>334</v>
      </c>
      <c r="B42" s="190"/>
      <c r="C42" s="190"/>
      <c r="D42" s="190"/>
      <c r="E42" s="190"/>
      <c r="F42" s="190"/>
      <c r="G42" s="190"/>
      <c r="H42" s="190"/>
      <c r="I42" s="190"/>
    </row>
  </sheetData>
  <mergeCells count="22">
    <mergeCell ref="A8:I8"/>
    <mergeCell ref="A9:I9"/>
    <mergeCell ref="A10:I10"/>
    <mergeCell ref="A11:I11"/>
    <mergeCell ref="A12:I12"/>
    <mergeCell ref="A13:I13"/>
    <mergeCell ref="A40:I40"/>
    <mergeCell ref="A41:I41"/>
    <mergeCell ref="A42:I42"/>
    <mergeCell ref="A1:I1"/>
    <mergeCell ref="A2:I2"/>
    <mergeCell ref="A3:I3"/>
    <mergeCell ref="A4:I4"/>
    <mergeCell ref="A5:I5"/>
    <mergeCell ref="A6:I6"/>
    <mergeCell ref="A7:I7"/>
    <mergeCell ref="A15:I15"/>
    <mergeCell ref="B16:C16"/>
    <mergeCell ref="D16:E16"/>
    <mergeCell ref="F16:G16"/>
    <mergeCell ref="H16:I16"/>
    <mergeCell ref="A39:I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8EF00-EFAE-B044-A24B-054EE93875F8}">
  <dimension ref="A1:H49"/>
  <sheetViews>
    <sheetView workbookViewId="0">
      <pane ySplit="2" topLeftCell="A24" activePane="bottomLeft" state="frozen"/>
      <selection pane="bottomLeft" sqref="A1:G1"/>
    </sheetView>
  </sheetViews>
  <sheetFormatPr baseColWidth="10" defaultRowHeight="16" x14ac:dyDescent="0.2"/>
  <cols>
    <col min="1" max="1" width="5" customWidth="1"/>
    <col min="2" max="3" width="28.33203125" customWidth="1"/>
    <col min="4" max="4" width="20" customWidth="1"/>
    <col min="5" max="7" width="53.33203125" customWidth="1"/>
    <col min="8" max="8" width="30" customWidth="1"/>
  </cols>
  <sheetData>
    <row r="1" spans="1:8" ht="35" customHeight="1" x14ac:dyDescent="0.3">
      <c r="A1" s="161" t="s">
        <v>335</v>
      </c>
      <c r="B1" s="118"/>
      <c r="C1" s="118"/>
      <c r="D1" s="118"/>
      <c r="E1" s="118"/>
      <c r="F1" s="118"/>
      <c r="G1" s="118"/>
      <c r="H1" s="118"/>
    </row>
    <row r="2" spans="1:8" ht="35" customHeight="1" x14ac:dyDescent="0.2">
      <c r="A2" s="192" t="s">
        <v>336</v>
      </c>
      <c r="B2" s="192" t="s">
        <v>337</v>
      </c>
      <c r="C2" s="192" t="s">
        <v>610</v>
      </c>
      <c r="D2" s="192" t="s">
        <v>338</v>
      </c>
      <c r="E2" s="193" t="s">
        <v>339</v>
      </c>
      <c r="F2" s="194" t="s">
        <v>340</v>
      </c>
      <c r="G2" s="195" t="s">
        <v>341</v>
      </c>
      <c r="H2" s="213" t="s">
        <v>342</v>
      </c>
    </row>
    <row r="3" spans="1:8" ht="26" customHeight="1" x14ac:dyDescent="0.2">
      <c r="A3" s="206" t="s">
        <v>128</v>
      </c>
      <c r="B3" s="118"/>
      <c r="C3" s="118"/>
      <c r="D3" s="118"/>
      <c r="E3" s="118"/>
      <c r="F3" s="118"/>
      <c r="G3" s="118"/>
      <c r="H3" s="118"/>
    </row>
    <row r="4" spans="1:8" ht="80" customHeight="1" x14ac:dyDescent="0.2">
      <c r="A4" s="207">
        <v>1</v>
      </c>
      <c r="B4" s="196" t="s">
        <v>129</v>
      </c>
      <c r="C4" s="196"/>
      <c r="D4" s="197" t="s">
        <v>343</v>
      </c>
      <c r="E4" s="198" t="s">
        <v>130</v>
      </c>
      <c r="F4" s="198" t="s">
        <v>131</v>
      </c>
      <c r="G4" s="198" t="s">
        <v>132</v>
      </c>
      <c r="H4" s="198" t="s">
        <v>344</v>
      </c>
    </row>
    <row r="5" spans="1:8" ht="80" customHeight="1" x14ac:dyDescent="0.2">
      <c r="A5" s="208">
        <v>2</v>
      </c>
      <c r="B5" s="199" t="s">
        <v>345</v>
      </c>
      <c r="C5" s="199"/>
      <c r="D5" s="200" t="s">
        <v>346</v>
      </c>
      <c r="E5" s="148" t="s">
        <v>134</v>
      </c>
      <c r="F5" s="148" t="s">
        <v>135</v>
      </c>
      <c r="G5" s="148" t="s">
        <v>136</v>
      </c>
      <c r="H5" s="148" t="s">
        <v>347</v>
      </c>
    </row>
    <row r="6" spans="1:8" ht="80" customHeight="1" x14ac:dyDescent="0.2">
      <c r="A6" s="207">
        <v>3</v>
      </c>
      <c r="B6" s="196" t="s">
        <v>348</v>
      </c>
      <c r="C6" s="196"/>
      <c r="D6" s="197" t="s">
        <v>349</v>
      </c>
      <c r="E6" s="198" t="s">
        <v>138</v>
      </c>
      <c r="F6" s="198" t="s">
        <v>350</v>
      </c>
      <c r="G6" s="198" t="s">
        <v>140</v>
      </c>
      <c r="H6" s="198" t="s">
        <v>351</v>
      </c>
    </row>
    <row r="7" spans="1:8" ht="80" customHeight="1" x14ac:dyDescent="0.2">
      <c r="A7" s="208">
        <v>4</v>
      </c>
      <c r="B7" s="199" t="s">
        <v>141</v>
      </c>
      <c r="C7" s="199"/>
      <c r="D7" s="200" t="s">
        <v>352</v>
      </c>
      <c r="E7" s="148" t="s">
        <v>142</v>
      </c>
      <c r="F7" s="148" t="s">
        <v>143</v>
      </c>
      <c r="G7" s="148" t="s">
        <v>144</v>
      </c>
      <c r="H7" s="148" t="s">
        <v>353</v>
      </c>
    </row>
    <row r="8" spans="1:8" ht="80" customHeight="1" x14ac:dyDescent="0.2">
      <c r="A8" s="207">
        <v>5</v>
      </c>
      <c r="B8" s="196" t="s">
        <v>354</v>
      </c>
      <c r="C8" s="196"/>
      <c r="D8" s="197" t="s">
        <v>355</v>
      </c>
      <c r="E8" s="198" t="s">
        <v>146</v>
      </c>
      <c r="F8" s="198" t="s">
        <v>147</v>
      </c>
      <c r="G8" s="198" t="s">
        <v>148</v>
      </c>
      <c r="H8" s="198" t="s">
        <v>356</v>
      </c>
    </row>
    <row r="9" spans="1:8" ht="80" customHeight="1" x14ac:dyDescent="0.2">
      <c r="A9" s="208">
        <v>6</v>
      </c>
      <c r="B9" s="199" t="s">
        <v>357</v>
      </c>
      <c r="C9" s="199"/>
      <c r="D9" s="200" t="s">
        <v>358</v>
      </c>
      <c r="E9" s="148" t="s">
        <v>150</v>
      </c>
      <c r="F9" s="148" t="s">
        <v>151</v>
      </c>
      <c r="G9" s="148" t="s">
        <v>152</v>
      </c>
      <c r="H9" s="148" t="s">
        <v>359</v>
      </c>
    </row>
    <row r="10" spans="1:8" ht="80" customHeight="1" x14ac:dyDescent="0.2">
      <c r="A10" s="207">
        <v>7</v>
      </c>
      <c r="B10" s="196" t="s">
        <v>153</v>
      </c>
      <c r="C10" s="196"/>
      <c r="D10" s="197" t="s">
        <v>360</v>
      </c>
      <c r="E10" s="198" t="s">
        <v>361</v>
      </c>
      <c r="F10" s="198" t="s">
        <v>362</v>
      </c>
      <c r="G10" s="198" t="s">
        <v>363</v>
      </c>
      <c r="H10" s="198" t="s">
        <v>364</v>
      </c>
    </row>
    <row r="11" spans="1:8" ht="80" customHeight="1" x14ac:dyDescent="0.2">
      <c r="A11" s="208">
        <v>8</v>
      </c>
      <c r="B11" s="199" t="s">
        <v>157</v>
      </c>
      <c r="C11" s="199"/>
      <c r="D11" s="200" t="s">
        <v>365</v>
      </c>
      <c r="E11" s="148" t="s">
        <v>366</v>
      </c>
      <c r="F11" s="148" t="s">
        <v>367</v>
      </c>
      <c r="G11" s="148" t="s">
        <v>368</v>
      </c>
      <c r="H11" s="148" t="s">
        <v>369</v>
      </c>
    </row>
    <row r="12" spans="1:8" ht="80" customHeight="1" x14ac:dyDescent="0.2">
      <c r="A12" s="207">
        <v>9</v>
      </c>
      <c r="B12" s="196" t="s">
        <v>161</v>
      </c>
      <c r="C12" s="196"/>
      <c r="D12" s="197" t="s">
        <v>370</v>
      </c>
      <c r="E12" s="198" t="s">
        <v>371</v>
      </c>
      <c r="F12" s="198" t="s">
        <v>372</v>
      </c>
      <c r="G12" s="198" t="s">
        <v>373</v>
      </c>
      <c r="H12" s="198" t="s">
        <v>374</v>
      </c>
    </row>
    <row r="13" spans="1:8" ht="80" customHeight="1" x14ac:dyDescent="0.2">
      <c r="A13" s="208">
        <v>10</v>
      </c>
      <c r="B13" s="199" t="s">
        <v>165</v>
      </c>
      <c r="C13" s="199"/>
      <c r="D13" s="200" t="s">
        <v>375</v>
      </c>
      <c r="E13" s="148" t="s">
        <v>376</v>
      </c>
      <c r="F13" s="148" t="s">
        <v>377</v>
      </c>
      <c r="G13" s="148" t="s">
        <v>378</v>
      </c>
      <c r="H13" s="148" t="s">
        <v>379</v>
      </c>
    </row>
    <row r="14" spans="1:8" ht="80" customHeight="1" x14ac:dyDescent="0.2">
      <c r="A14" s="207">
        <v>11</v>
      </c>
      <c r="B14" s="196" t="s">
        <v>169</v>
      </c>
      <c r="C14" s="196"/>
      <c r="D14" s="197" t="s">
        <v>380</v>
      </c>
      <c r="E14" s="198" t="s">
        <v>381</v>
      </c>
      <c r="F14" s="198" t="s">
        <v>382</v>
      </c>
      <c r="G14" s="198" t="s">
        <v>383</v>
      </c>
      <c r="H14" s="198" t="s">
        <v>384</v>
      </c>
    </row>
    <row r="15" spans="1:8" ht="80" customHeight="1" x14ac:dyDescent="0.2">
      <c r="A15" s="208">
        <v>12</v>
      </c>
      <c r="B15" s="199" t="s">
        <v>173</v>
      </c>
      <c r="C15" s="199"/>
      <c r="D15" s="200" t="s">
        <v>385</v>
      </c>
      <c r="E15" s="148" t="s">
        <v>386</v>
      </c>
      <c r="F15" s="148" t="s">
        <v>387</v>
      </c>
      <c r="G15" s="148" t="s">
        <v>388</v>
      </c>
      <c r="H15" s="148" t="s">
        <v>389</v>
      </c>
    </row>
    <row r="16" spans="1:8" ht="80" customHeight="1" x14ac:dyDescent="0.2">
      <c r="A16" s="207">
        <v>13</v>
      </c>
      <c r="B16" s="196" t="s">
        <v>390</v>
      </c>
      <c r="C16" s="196"/>
      <c r="D16" s="197" t="s">
        <v>94</v>
      </c>
      <c r="E16" s="198" t="s">
        <v>391</v>
      </c>
      <c r="F16" s="198" t="s">
        <v>392</v>
      </c>
      <c r="G16" s="198" t="s">
        <v>393</v>
      </c>
      <c r="H16" s="198" t="s">
        <v>394</v>
      </c>
    </row>
    <row r="17" spans="1:8" ht="80" customHeight="1" x14ac:dyDescent="0.2">
      <c r="A17" s="208">
        <v>14</v>
      </c>
      <c r="B17" s="199" t="s">
        <v>182</v>
      </c>
      <c r="C17" s="199"/>
      <c r="D17" s="200" t="s">
        <v>395</v>
      </c>
      <c r="E17" s="148" t="s">
        <v>396</v>
      </c>
      <c r="F17" s="148" t="s">
        <v>397</v>
      </c>
      <c r="G17" s="148" t="s">
        <v>398</v>
      </c>
      <c r="H17" s="148" t="s">
        <v>399</v>
      </c>
    </row>
    <row r="18" spans="1:8" ht="80" customHeight="1" x14ac:dyDescent="0.2">
      <c r="A18" s="207">
        <v>15</v>
      </c>
      <c r="B18" s="196" t="s">
        <v>187</v>
      </c>
      <c r="C18" s="196"/>
      <c r="D18" s="197" t="s">
        <v>400</v>
      </c>
      <c r="E18" s="198" t="s">
        <v>401</v>
      </c>
      <c r="F18" s="198" t="s">
        <v>402</v>
      </c>
      <c r="G18" s="198" t="s">
        <v>403</v>
      </c>
      <c r="H18" s="198" t="s">
        <v>404</v>
      </c>
    </row>
    <row r="19" spans="1:8" ht="80" customHeight="1" x14ac:dyDescent="0.2">
      <c r="A19" s="208">
        <v>16</v>
      </c>
      <c r="B19" s="199" t="s">
        <v>193</v>
      </c>
      <c r="C19" s="199"/>
      <c r="D19" s="200" t="s">
        <v>405</v>
      </c>
      <c r="E19" s="148" t="s">
        <v>406</v>
      </c>
      <c r="F19" s="148" t="s">
        <v>407</v>
      </c>
      <c r="G19" s="148" t="s">
        <v>408</v>
      </c>
      <c r="H19" s="148" t="s">
        <v>409</v>
      </c>
    </row>
    <row r="20" spans="1:8" ht="80" customHeight="1" x14ac:dyDescent="0.2">
      <c r="A20" s="207">
        <v>17</v>
      </c>
      <c r="B20" s="196" t="s">
        <v>199</v>
      </c>
      <c r="C20" s="196"/>
      <c r="D20" s="197" t="s">
        <v>410</v>
      </c>
      <c r="E20" s="198" t="s">
        <v>411</v>
      </c>
      <c r="F20" s="198" t="s">
        <v>412</v>
      </c>
      <c r="G20" s="198" t="s">
        <v>413</v>
      </c>
      <c r="H20" s="198" t="s">
        <v>399</v>
      </c>
    </row>
    <row r="21" spans="1:8" ht="80" customHeight="1" x14ac:dyDescent="0.2">
      <c r="A21" s="208">
        <v>18</v>
      </c>
      <c r="B21" s="199" t="s">
        <v>203</v>
      </c>
      <c r="C21" s="199"/>
      <c r="D21" s="200" t="s">
        <v>414</v>
      </c>
      <c r="E21" s="148" t="s">
        <v>415</v>
      </c>
      <c r="F21" s="148" t="s">
        <v>416</v>
      </c>
      <c r="G21" s="148" t="s">
        <v>417</v>
      </c>
      <c r="H21" s="148" t="s">
        <v>418</v>
      </c>
    </row>
    <row r="22" spans="1:8" ht="80" customHeight="1" x14ac:dyDescent="0.2">
      <c r="A22" s="207">
        <v>19</v>
      </c>
      <c r="B22" s="196" t="s">
        <v>207</v>
      </c>
      <c r="C22" s="196"/>
      <c r="D22" s="197" t="s">
        <v>419</v>
      </c>
      <c r="E22" s="198" t="s">
        <v>420</v>
      </c>
      <c r="F22" s="198" t="s">
        <v>421</v>
      </c>
      <c r="G22" s="198" t="s">
        <v>422</v>
      </c>
      <c r="H22" s="198" t="s">
        <v>423</v>
      </c>
    </row>
    <row r="23" spans="1:8" ht="80" customHeight="1" x14ac:dyDescent="0.2">
      <c r="A23" s="208">
        <v>20</v>
      </c>
      <c r="B23" s="199" t="s">
        <v>211</v>
      </c>
      <c r="C23" s="199"/>
      <c r="D23" s="200" t="s">
        <v>424</v>
      </c>
      <c r="E23" s="148" t="s">
        <v>425</v>
      </c>
      <c r="F23" s="148" t="s">
        <v>426</v>
      </c>
      <c r="G23" s="148" t="s">
        <v>427</v>
      </c>
      <c r="H23" s="148" t="s">
        <v>428</v>
      </c>
    </row>
    <row r="24" spans="1:8" ht="80" customHeight="1" x14ac:dyDescent="0.2">
      <c r="A24" s="207">
        <v>21</v>
      </c>
      <c r="B24" s="196" t="s">
        <v>215</v>
      </c>
      <c r="C24" s="196"/>
      <c r="D24" s="197" t="s">
        <v>429</v>
      </c>
      <c r="E24" s="198" t="s">
        <v>430</v>
      </c>
      <c r="F24" s="198" t="s">
        <v>431</v>
      </c>
      <c r="G24" s="198" t="s">
        <v>432</v>
      </c>
      <c r="H24" s="198" t="s">
        <v>433</v>
      </c>
    </row>
    <row r="25" spans="1:8" ht="80" customHeight="1" x14ac:dyDescent="0.2">
      <c r="A25" s="208">
        <v>22</v>
      </c>
      <c r="B25" s="199" t="s">
        <v>219</v>
      </c>
      <c r="C25" s="199"/>
      <c r="D25" s="200" t="s">
        <v>434</v>
      </c>
      <c r="E25" s="148" t="s">
        <v>435</v>
      </c>
      <c r="F25" s="148" t="s">
        <v>436</v>
      </c>
      <c r="G25" s="148" t="s">
        <v>437</v>
      </c>
      <c r="H25" s="148" t="s">
        <v>438</v>
      </c>
    </row>
    <row r="26" spans="1:8" ht="80" customHeight="1" x14ac:dyDescent="0.2">
      <c r="A26" s="207">
        <v>23</v>
      </c>
      <c r="B26" s="196" t="s">
        <v>223</v>
      </c>
      <c r="C26" s="196"/>
      <c r="D26" s="197" t="s">
        <v>439</v>
      </c>
      <c r="E26" s="198" t="s">
        <v>440</v>
      </c>
      <c r="F26" s="198" t="s">
        <v>441</v>
      </c>
      <c r="G26" s="198" t="s">
        <v>442</v>
      </c>
      <c r="H26" s="198" t="s">
        <v>443</v>
      </c>
    </row>
    <row r="27" spans="1:8" ht="80" customHeight="1" x14ac:dyDescent="0.2">
      <c r="A27" s="209" t="s">
        <v>227</v>
      </c>
      <c r="B27" s="201"/>
      <c r="C27" s="201"/>
      <c r="D27" s="202"/>
      <c r="E27" s="203"/>
      <c r="F27" s="203"/>
      <c r="G27" s="203"/>
      <c r="H27" s="203"/>
    </row>
    <row r="28" spans="1:8" ht="80" customHeight="1" x14ac:dyDescent="0.2">
      <c r="A28" s="207">
        <v>24</v>
      </c>
      <c r="B28" s="196" t="s">
        <v>228</v>
      </c>
      <c r="C28" s="196"/>
      <c r="D28" s="197" t="s">
        <v>444</v>
      </c>
      <c r="E28" s="198" t="s">
        <v>445</v>
      </c>
      <c r="F28" s="198" t="s">
        <v>446</v>
      </c>
      <c r="G28" s="198" t="s">
        <v>447</v>
      </c>
      <c r="H28" s="198" t="s">
        <v>448</v>
      </c>
    </row>
    <row r="29" spans="1:8" ht="80" customHeight="1" x14ac:dyDescent="0.2">
      <c r="A29" s="208">
        <v>25</v>
      </c>
      <c r="B29" s="199" t="s">
        <v>232</v>
      </c>
      <c r="C29" s="199"/>
      <c r="D29" s="200" t="s">
        <v>449</v>
      </c>
      <c r="E29" s="148" t="s">
        <v>450</v>
      </c>
      <c r="F29" s="148" t="s">
        <v>451</v>
      </c>
      <c r="G29" s="148" t="s">
        <v>452</v>
      </c>
      <c r="H29" s="148" t="s">
        <v>453</v>
      </c>
    </row>
    <row r="30" spans="1:8" ht="80" customHeight="1" x14ac:dyDescent="0.2">
      <c r="A30" s="207">
        <v>26</v>
      </c>
      <c r="B30" s="196" t="s">
        <v>454</v>
      </c>
      <c r="C30" s="196"/>
      <c r="D30" s="197" t="s">
        <v>455</v>
      </c>
      <c r="E30" s="198" t="s">
        <v>456</v>
      </c>
      <c r="F30" s="198" t="s">
        <v>457</v>
      </c>
      <c r="G30" s="198" t="s">
        <v>458</v>
      </c>
      <c r="H30" s="198" t="s">
        <v>459</v>
      </c>
    </row>
    <row r="31" spans="1:8" ht="80" customHeight="1" x14ac:dyDescent="0.2">
      <c r="A31" s="208">
        <v>27</v>
      </c>
      <c r="B31" s="199" t="s">
        <v>460</v>
      </c>
      <c r="C31" s="199"/>
      <c r="D31" s="200" t="s">
        <v>461</v>
      </c>
      <c r="E31" s="148" t="s">
        <v>462</v>
      </c>
      <c r="F31" s="148" t="s">
        <v>463</v>
      </c>
      <c r="G31" s="148" t="s">
        <v>464</v>
      </c>
      <c r="H31" s="148" t="s">
        <v>465</v>
      </c>
    </row>
    <row r="32" spans="1:8" ht="80" customHeight="1" x14ac:dyDescent="0.2">
      <c r="A32" s="207">
        <v>28</v>
      </c>
      <c r="B32" s="196" t="s">
        <v>466</v>
      </c>
      <c r="C32" s="196"/>
      <c r="D32" s="197" t="s">
        <v>467</v>
      </c>
      <c r="E32" s="198" t="s">
        <v>468</v>
      </c>
      <c r="F32" s="198" t="s">
        <v>469</v>
      </c>
      <c r="G32" s="198" t="s">
        <v>470</v>
      </c>
      <c r="H32" s="198" t="s">
        <v>471</v>
      </c>
    </row>
    <row r="33" spans="1:8" ht="80" customHeight="1" x14ac:dyDescent="0.2">
      <c r="A33" s="208">
        <v>29</v>
      </c>
      <c r="B33" s="199" t="s">
        <v>248</v>
      </c>
      <c r="C33" s="199"/>
      <c r="D33" s="200" t="s">
        <v>472</v>
      </c>
      <c r="E33" s="148" t="s">
        <v>473</v>
      </c>
      <c r="F33" s="148" t="s">
        <v>474</v>
      </c>
      <c r="G33" s="148" t="s">
        <v>475</v>
      </c>
      <c r="H33" s="148" t="s">
        <v>476</v>
      </c>
    </row>
    <row r="34" spans="1:8" ht="80" customHeight="1" x14ac:dyDescent="0.2">
      <c r="A34" s="207">
        <v>30</v>
      </c>
      <c r="B34" s="196" t="s">
        <v>252</v>
      </c>
      <c r="C34" s="196"/>
      <c r="D34" s="197" t="s">
        <v>477</v>
      </c>
      <c r="E34" s="198" t="s">
        <v>478</v>
      </c>
      <c r="F34" s="198" t="s">
        <v>479</v>
      </c>
      <c r="G34" s="198" t="s">
        <v>480</v>
      </c>
      <c r="H34" s="198" t="s">
        <v>481</v>
      </c>
    </row>
    <row r="35" spans="1:8" ht="80" customHeight="1" x14ac:dyDescent="0.2">
      <c r="A35" s="208">
        <v>31</v>
      </c>
      <c r="B35" s="199" t="s">
        <v>256</v>
      </c>
      <c r="C35" s="199"/>
      <c r="D35" s="200" t="s">
        <v>482</v>
      </c>
      <c r="E35" s="148" t="s">
        <v>483</v>
      </c>
      <c r="F35" s="148" t="s">
        <v>484</v>
      </c>
      <c r="G35" s="148" t="s">
        <v>485</v>
      </c>
      <c r="H35" s="148" t="s">
        <v>347</v>
      </c>
    </row>
    <row r="36" spans="1:8" ht="80" customHeight="1" x14ac:dyDescent="0.2">
      <c r="A36" s="207">
        <v>32</v>
      </c>
      <c r="B36" s="196" t="s">
        <v>260</v>
      </c>
      <c r="C36" s="196"/>
      <c r="D36" s="197" t="s">
        <v>486</v>
      </c>
      <c r="E36" s="198" t="s">
        <v>487</v>
      </c>
      <c r="F36" s="198" t="s">
        <v>488</v>
      </c>
      <c r="G36" s="198" t="s">
        <v>489</v>
      </c>
      <c r="H36" s="198" t="s">
        <v>490</v>
      </c>
    </row>
    <row r="37" spans="1:8" ht="80" customHeight="1" x14ac:dyDescent="0.2">
      <c r="A37" s="208">
        <v>33</v>
      </c>
      <c r="B37" s="199" t="s">
        <v>264</v>
      </c>
      <c r="C37" s="199"/>
      <c r="D37" s="200" t="s">
        <v>491</v>
      </c>
      <c r="E37" s="148" t="s">
        <v>492</v>
      </c>
      <c r="F37" s="148" t="s">
        <v>493</v>
      </c>
      <c r="G37" s="148" t="s">
        <v>494</v>
      </c>
      <c r="H37" s="148" t="s">
        <v>495</v>
      </c>
    </row>
    <row r="38" spans="1:8" ht="80" customHeight="1" x14ac:dyDescent="0.2">
      <c r="A38" s="207">
        <v>34</v>
      </c>
      <c r="B38" s="196" t="s">
        <v>268</v>
      </c>
      <c r="C38" s="196"/>
      <c r="D38" s="197" t="s">
        <v>496</v>
      </c>
      <c r="E38" s="198" t="s">
        <v>497</v>
      </c>
      <c r="F38" s="198" t="s">
        <v>498</v>
      </c>
      <c r="G38" s="198" t="s">
        <v>499</v>
      </c>
      <c r="H38" s="198" t="s">
        <v>500</v>
      </c>
    </row>
    <row r="39" spans="1:8" ht="80" customHeight="1" x14ac:dyDescent="0.2">
      <c r="A39" s="208">
        <v>35</v>
      </c>
      <c r="B39" s="199" t="s">
        <v>272</v>
      </c>
      <c r="C39" s="199"/>
      <c r="D39" s="200" t="s">
        <v>501</v>
      </c>
      <c r="E39" s="148" t="s">
        <v>502</v>
      </c>
      <c r="F39" s="148" t="s">
        <v>503</v>
      </c>
      <c r="G39" s="148" t="s">
        <v>504</v>
      </c>
      <c r="H39" s="148" t="s">
        <v>505</v>
      </c>
    </row>
    <row r="40" spans="1:8" ht="80" customHeight="1" x14ac:dyDescent="0.2">
      <c r="A40" s="207">
        <v>36</v>
      </c>
      <c r="B40" s="196" t="s">
        <v>276</v>
      </c>
      <c r="C40" s="196"/>
      <c r="D40" s="197" t="s">
        <v>506</v>
      </c>
      <c r="E40" s="198" t="s">
        <v>507</v>
      </c>
      <c r="F40" s="198" t="s">
        <v>508</v>
      </c>
      <c r="G40" s="198" t="s">
        <v>509</v>
      </c>
      <c r="H40" s="198" t="s">
        <v>510</v>
      </c>
    </row>
    <row r="41" spans="1:8" ht="80" customHeight="1" x14ac:dyDescent="0.2">
      <c r="A41" s="208">
        <v>37</v>
      </c>
      <c r="B41" s="199" t="s">
        <v>280</v>
      </c>
      <c r="C41" s="199"/>
      <c r="D41" s="200" t="s">
        <v>511</v>
      </c>
      <c r="E41" s="148" t="s">
        <v>512</v>
      </c>
      <c r="F41" s="148" t="s">
        <v>513</v>
      </c>
      <c r="G41" s="148" t="s">
        <v>514</v>
      </c>
      <c r="H41" s="148" t="s">
        <v>515</v>
      </c>
    </row>
    <row r="42" spans="1:8" ht="80" customHeight="1" x14ac:dyDescent="0.2">
      <c r="A42" s="207">
        <v>38</v>
      </c>
      <c r="B42" s="196" t="s">
        <v>284</v>
      </c>
      <c r="C42" s="196"/>
      <c r="D42" s="197" t="s">
        <v>516</v>
      </c>
      <c r="E42" s="198" t="s">
        <v>517</v>
      </c>
      <c r="F42" s="198" t="s">
        <v>518</v>
      </c>
      <c r="G42" s="198" t="s">
        <v>519</v>
      </c>
      <c r="H42" s="198" t="s">
        <v>520</v>
      </c>
    </row>
    <row r="43" spans="1:8" ht="80" customHeight="1" x14ac:dyDescent="0.2">
      <c r="A43" s="208">
        <v>39</v>
      </c>
      <c r="B43" s="199" t="s">
        <v>288</v>
      </c>
      <c r="C43" s="199"/>
      <c r="D43" s="200" t="s">
        <v>521</v>
      </c>
      <c r="E43" s="148" t="s">
        <v>522</v>
      </c>
      <c r="F43" s="148" t="s">
        <v>523</v>
      </c>
      <c r="G43" s="148" t="s">
        <v>524</v>
      </c>
      <c r="H43" s="148" t="s">
        <v>525</v>
      </c>
    </row>
    <row r="44" spans="1:8" ht="26" customHeight="1" x14ac:dyDescent="0.2">
      <c r="A44" s="210" t="s">
        <v>526</v>
      </c>
      <c r="B44" s="203"/>
      <c r="C44" s="203"/>
      <c r="D44" s="205"/>
      <c r="E44" s="203"/>
      <c r="F44" s="203"/>
      <c r="G44" s="203"/>
      <c r="H44" s="203"/>
    </row>
    <row r="45" spans="1:8" ht="80" customHeight="1" x14ac:dyDescent="0.2">
      <c r="A45" s="208" t="s">
        <v>527</v>
      </c>
      <c r="B45" s="199" t="s">
        <v>67</v>
      </c>
      <c r="C45" s="199"/>
      <c r="D45" s="200" t="s">
        <v>528</v>
      </c>
      <c r="E45" s="148" t="s">
        <v>529</v>
      </c>
      <c r="F45" s="148" t="s">
        <v>530</v>
      </c>
      <c r="G45" s="148" t="s">
        <v>531</v>
      </c>
      <c r="H45" s="148" t="s">
        <v>532</v>
      </c>
    </row>
    <row r="46" spans="1:8" x14ac:dyDescent="0.2">
      <c r="A46" s="108"/>
      <c r="B46" s="108"/>
      <c r="C46" s="108"/>
      <c r="D46" s="108"/>
      <c r="E46" s="108"/>
      <c r="F46" s="108"/>
      <c r="G46" s="108"/>
      <c r="H46" s="108"/>
    </row>
    <row r="47" spans="1:8" ht="26" customHeight="1" x14ac:dyDescent="0.2">
      <c r="A47" s="211" t="s">
        <v>533</v>
      </c>
      <c r="B47" s="118"/>
      <c r="C47" s="118"/>
      <c r="D47" s="118"/>
      <c r="E47" s="118"/>
      <c r="F47" s="118"/>
      <c r="G47" s="118"/>
      <c r="H47" s="118"/>
    </row>
    <row r="48" spans="1:8" x14ac:dyDescent="0.2">
      <c r="A48" s="212" t="s">
        <v>534</v>
      </c>
      <c r="B48" s="118"/>
      <c r="C48" s="118"/>
      <c r="D48" s="118"/>
      <c r="E48" s="118"/>
      <c r="F48" s="118"/>
      <c r="G48" s="118"/>
      <c r="H48" s="118"/>
    </row>
    <row r="49" spans="1:8" x14ac:dyDescent="0.2">
      <c r="A49" s="212" t="s">
        <v>535</v>
      </c>
      <c r="B49" s="118"/>
      <c r="C49" s="118"/>
      <c r="D49" s="118"/>
      <c r="E49" s="118"/>
      <c r="F49" s="118"/>
      <c r="G49" s="118"/>
      <c r="H49" s="118"/>
    </row>
  </sheetData>
  <mergeCells count="7">
    <mergeCell ref="A49:H49"/>
    <mergeCell ref="A1:H1"/>
    <mergeCell ref="A3:H3"/>
    <mergeCell ref="A27:H27"/>
    <mergeCell ref="A44:H44"/>
    <mergeCell ref="A47:H47"/>
    <mergeCell ref="A48:H4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C7C02-2E4A-9F49-88A0-1B856C2C1DC7}">
  <dimension ref="A1:U5"/>
  <sheetViews>
    <sheetView workbookViewId="0">
      <selection sqref="A1:U5"/>
    </sheetView>
  </sheetViews>
  <sheetFormatPr baseColWidth="10" defaultRowHeight="16" x14ac:dyDescent="0.2"/>
  <sheetData>
    <row r="1" spans="1:21" x14ac:dyDescent="0.2">
      <c r="A1" s="224" t="s">
        <v>550</v>
      </c>
      <c r="B1" s="224" t="s">
        <v>551</v>
      </c>
      <c r="C1" s="224" t="s">
        <v>552</v>
      </c>
      <c r="D1" s="224" t="s">
        <v>553</v>
      </c>
      <c r="E1" s="224" t="s">
        <v>554</v>
      </c>
      <c r="F1" s="224" t="s">
        <v>555</v>
      </c>
      <c r="G1" s="224" t="s">
        <v>556</v>
      </c>
      <c r="H1" s="224" t="s">
        <v>557</v>
      </c>
      <c r="I1" s="224" t="s">
        <v>558</v>
      </c>
      <c r="J1" s="224" t="s">
        <v>559</v>
      </c>
      <c r="K1" s="224" t="s">
        <v>560</v>
      </c>
      <c r="L1" s="224" t="s">
        <v>561</v>
      </c>
      <c r="M1" s="224" t="s">
        <v>562</v>
      </c>
      <c r="N1" s="224" t="s">
        <v>563</v>
      </c>
      <c r="O1" s="224" t="s">
        <v>564</v>
      </c>
      <c r="P1" s="224" t="s">
        <v>565</v>
      </c>
      <c r="Q1" s="224" t="s">
        <v>566</v>
      </c>
      <c r="R1" s="224" t="s">
        <v>567</v>
      </c>
      <c r="S1" s="224" t="s">
        <v>568</v>
      </c>
      <c r="T1" s="224" t="s">
        <v>569</v>
      </c>
      <c r="U1" s="224" t="s">
        <v>570</v>
      </c>
    </row>
    <row r="2" spans="1:21" x14ac:dyDescent="0.2">
      <c r="A2" s="224" t="s">
        <v>584</v>
      </c>
      <c r="B2" s="225" t="s">
        <v>585</v>
      </c>
      <c r="C2" s="225" t="s">
        <v>586</v>
      </c>
      <c r="D2" s="226" t="s">
        <v>587</v>
      </c>
      <c r="E2" s="225" t="s">
        <v>588</v>
      </c>
      <c r="F2" s="225" t="s">
        <v>589</v>
      </c>
      <c r="G2" s="225">
        <v>8</v>
      </c>
      <c r="H2" s="225" t="s">
        <v>571</v>
      </c>
      <c r="I2" s="225" t="s">
        <v>590</v>
      </c>
      <c r="J2" s="225" t="s">
        <v>576</v>
      </c>
      <c r="K2" s="225" t="s">
        <v>574</v>
      </c>
      <c r="L2" s="225" t="b">
        <v>0</v>
      </c>
      <c r="M2" s="225" t="s">
        <v>577</v>
      </c>
      <c r="N2" s="225" t="s">
        <v>578</v>
      </c>
      <c r="O2" s="225">
        <v>1.202425537322E+17</v>
      </c>
      <c r="P2" s="226" t="s">
        <v>579</v>
      </c>
      <c r="Q2" s="227">
        <v>46303</v>
      </c>
      <c r="R2" s="225" t="b">
        <v>1</v>
      </c>
      <c r="S2" s="225" t="b">
        <v>1</v>
      </c>
      <c r="T2" s="225" t="b">
        <v>1</v>
      </c>
      <c r="U2" s="225" t="b">
        <v>1</v>
      </c>
    </row>
    <row r="3" spans="1:21" x14ac:dyDescent="0.2">
      <c r="A3" s="224" t="s">
        <v>591</v>
      </c>
      <c r="B3" s="225" t="s">
        <v>592</v>
      </c>
      <c r="C3" s="225" t="s">
        <v>593</v>
      </c>
      <c r="D3" s="226" t="s">
        <v>594</v>
      </c>
      <c r="E3" s="225">
        <v>417258369</v>
      </c>
      <c r="F3" s="225" t="s">
        <v>595</v>
      </c>
      <c r="G3" s="225">
        <v>8</v>
      </c>
      <c r="H3" s="225" t="s">
        <v>571</v>
      </c>
      <c r="I3" s="225" t="s">
        <v>596</v>
      </c>
      <c r="J3" s="225" t="s">
        <v>597</v>
      </c>
      <c r="K3" s="225" t="s">
        <v>574</v>
      </c>
      <c r="L3" s="225" t="b">
        <v>0</v>
      </c>
      <c r="M3" s="225" t="s">
        <v>580</v>
      </c>
      <c r="N3" s="225" t="s">
        <v>578</v>
      </c>
      <c r="O3" s="225">
        <v>1.202425537322E+17</v>
      </c>
      <c r="P3" s="226" t="s">
        <v>581</v>
      </c>
      <c r="Q3" s="227">
        <v>46303</v>
      </c>
      <c r="R3" s="225" t="b">
        <v>1</v>
      </c>
      <c r="S3" s="225" t="b">
        <v>1</v>
      </c>
      <c r="T3" s="225" t="b">
        <v>1</v>
      </c>
      <c r="U3" s="225" t="b">
        <v>1</v>
      </c>
    </row>
    <row r="4" spans="1:21" x14ac:dyDescent="0.2">
      <c r="A4" s="224" t="s">
        <v>598</v>
      </c>
      <c r="B4" s="225" t="s">
        <v>599</v>
      </c>
      <c r="C4" s="225" t="s">
        <v>600</v>
      </c>
      <c r="D4" s="226" t="s">
        <v>601</v>
      </c>
      <c r="E4" s="225">
        <v>61423067444</v>
      </c>
      <c r="F4" s="225" t="s">
        <v>602</v>
      </c>
      <c r="G4" s="225">
        <v>13</v>
      </c>
      <c r="H4" s="225" t="s">
        <v>575</v>
      </c>
      <c r="I4" s="225" t="s">
        <v>582</v>
      </c>
      <c r="J4" s="225" t="s">
        <v>583</v>
      </c>
      <c r="K4" s="225" t="s">
        <v>573</v>
      </c>
      <c r="L4" s="225" t="b">
        <v>0</v>
      </c>
      <c r="M4" s="225" t="s">
        <v>577</v>
      </c>
      <c r="N4" s="225" t="s">
        <v>578</v>
      </c>
      <c r="O4" s="225">
        <v>1.202425537322E+17</v>
      </c>
      <c r="P4" s="226" t="s">
        <v>579</v>
      </c>
      <c r="Q4" s="228">
        <v>41974</v>
      </c>
      <c r="R4" s="225" t="b">
        <v>1</v>
      </c>
      <c r="S4" s="225" t="b">
        <v>1</v>
      </c>
      <c r="T4" s="225" t="b">
        <v>1</v>
      </c>
      <c r="U4" s="225" t="b">
        <v>1</v>
      </c>
    </row>
    <row r="5" spans="1:21" x14ac:dyDescent="0.2">
      <c r="A5" s="224" t="s">
        <v>603</v>
      </c>
      <c r="B5" s="225" t="s">
        <v>604</v>
      </c>
      <c r="C5" s="225" t="s">
        <v>605</v>
      </c>
      <c r="D5" s="226" t="s">
        <v>606</v>
      </c>
      <c r="E5" s="225">
        <v>401585889</v>
      </c>
      <c r="F5" s="225" t="s">
        <v>607</v>
      </c>
      <c r="G5" s="225">
        <v>13</v>
      </c>
      <c r="H5" s="225" t="s">
        <v>571</v>
      </c>
      <c r="I5" s="225" t="s">
        <v>608</v>
      </c>
      <c r="J5" s="225" t="s">
        <v>572</v>
      </c>
      <c r="K5" s="225" t="s">
        <v>573</v>
      </c>
      <c r="L5" s="225" t="b">
        <v>0</v>
      </c>
      <c r="M5" s="225" t="s">
        <v>580</v>
      </c>
      <c r="N5" s="225" t="s">
        <v>578</v>
      </c>
      <c r="O5" s="225">
        <v>1.202425537322E+17</v>
      </c>
      <c r="P5" s="226" t="s">
        <v>609</v>
      </c>
      <c r="Q5" s="228">
        <v>41974</v>
      </c>
      <c r="R5" s="225" t="b">
        <v>1</v>
      </c>
      <c r="S5" s="225" t="b">
        <v>1</v>
      </c>
      <c r="T5" s="225" t="b">
        <v>1</v>
      </c>
      <c r="U5" s="225" t="b">
        <v>1</v>
      </c>
    </row>
  </sheetData>
  <hyperlinks>
    <hyperlink ref="D2" r:id="rId1" display="mailto:prince81prince@gmail.com" xr:uid="{23B8B785-F941-B049-BA14-092A0F64BF65}"/>
    <hyperlink ref="P2" r:id="rId2" xr:uid="{F7306B1B-C931-8C4C-A901-7B920DDF8965}"/>
    <hyperlink ref="D3" r:id="rId3" display="mailto:yhe@gmail.com" xr:uid="{7C4013EF-21E6-E342-B1D1-646B9D534A7B}"/>
    <hyperlink ref="P3" r:id="rId4" xr:uid="{0C354AA1-12D7-BC41-8968-805E645BBDB1}"/>
    <hyperlink ref="D4" r:id="rId5" display="mailto:ozharry@hotmail.com" xr:uid="{ED55B745-C655-2A4D-8BCB-849AB6CB2DAB}"/>
    <hyperlink ref="P4" r:id="rId6" xr:uid="{C44E1C4C-8E4D-D04A-8C59-3773CC9CE629}"/>
    <hyperlink ref="D5" r:id="rId7" display="mailto:heno2@hotmail.com" xr:uid="{1264B8A9-082F-4146-A5E4-70E5262098FD}"/>
    <hyperlink ref="P5" r:id="rId8" xr:uid="{FDE1ECF9-598F-A24A-824F-34165EC4BAEE}"/>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Sheet1</vt:lpstr>
      <vt:lpstr>Month 1</vt:lpstr>
      <vt:lpstr>Session Plans - Month 1</vt:lpstr>
      <vt:lpstr>Activity Library</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Lewis</dc:creator>
  <cp:keywords/>
  <dc:description/>
  <cp:lastModifiedBy>Alex Lewis</cp:lastModifiedBy>
  <cp:revision/>
  <dcterms:created xsi:type="dcterms:W3CDTF">2026-03-03T02:12:25Z</dcterms:created>
  <dcterms:modified xsi:type="dcterms:W3CDTF">2026-03-24T07:42:37Z</dcterms:modified>
  <cp:category/>
  <cp:contentStatus/>
</cp:coreProperties>
</file>